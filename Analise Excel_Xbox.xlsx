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Analise de dados\Nova pasta\"/>
    </mc:Choice>
  </mc:AlternateContent>
  <xr:revisionPtr revIDLastSave="0" documentId="13_ncr:10000001_{113D0DD2-DB1F-4A76-8860-CCA861903488}" xr6:coauthVersionLast="47" xr6:coauthVersionMax="47" xr10:uidLastSave="{00000000-0000-0000-0000-000000000000}"/>
  <bookViews>
    <workbookView xWindow="-38520" yWindow="-60" windowWidth="38640" windowHeight="1599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Plan">#N/A</definedName>
    <definedName name="SegmentaçãodeDados_Plan1">#N/A</definedName>
    <definedName name="SegmentaçãodeDados_Subscription_Type">#N/A</definedName>
  </definedNames>
  <calcPr calcId="191029"/>
  <pivotCaches>
    <pivotCache cacheId="23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2" l="1"/>
  <c r="S4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J27" i="3"/>
  <c r="D21" i="3"/>
  <c r="D8" i="3"/>
  <c r="O5" i="3"/>
</calcChain>
</file>

<file path=xl/sharedStrings.xml><?xml version="1.0" encoding="utf-8"?>
<sst xmlns="http://schemas.openxmlformats.org/spreadsheetml/2006/main" count="2045" uniqueCount="334">
  <si>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</si>
  <si>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</si>
  <si>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</si>
  <si>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</si>
  <si>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</si>
  <si>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</si>
  <si>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</si>
  <si>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</si>
  <si>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</si>
  <si>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</si>
  <si>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</si>
  <si>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</si>
  <si>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</si>
  <si>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</si>
  <si>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</si>
  <si>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</si>
  <si>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</si>
  <si>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</si>
  <si>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</si>
  <si>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</si>
  <si>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</si>
  <si>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</si>
  <si>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</si>
  <si>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</si>
  <si>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</si>
  <si>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</si>
  <si>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</si>
  <si>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</si>
  <si>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</si>
  <si>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</si>
  <si>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</si>
  <si>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</si>
  <si>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</si>
  <si>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</si>
  <si>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</si>
  <si>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</si>
  <si>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</si>
  <si>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</si>
  <si>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</si>
  <si>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</si>
  <si>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</si>
  <si>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</si>
  <si>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</si>
  <si>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</si>
  <si>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</si>
  <si>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</si>
  <si>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</si>
  <si>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</si>
  <si>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</si>
  <si>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</si>
  <si>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</si>
  <si>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</si>
  <si>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</si>
  <si>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</si>
  <si>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</si>
  <si>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</si>
  <si>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</si>
  <si>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</si>
  <si>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</si>
  <si>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</si>
  <si>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</si>
  <si>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</si>
  <si>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</si>
  <si>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</si>
  <si>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</si>
  <si>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</si>
  <si>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</si>
  <si>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</si>
  <si>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</si>
  <si>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</si>
  <si>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</si>
  <si>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</si>
  <si>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</si>
  <si>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</si>
  <si>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</si>
  <si>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</si>
  <si>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</si>
  <si>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</si>
  <si>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</si>
  <si>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</si>
  <si>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</si>
  <si>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</si>
  <si>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</si>
  <si>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</si>
  <si>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</si>
  <si>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</si>
  <si>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</si>
  <si>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</si>
  <si>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</si>
  <si>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</si>
  <si>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</si>
  <si>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</si>
  <si>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</si>
  <si>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</si>
  <si>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</si>
  <si>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</si>
  <si>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</si>
  <si>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</si>
  <si>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</si>
  <si>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</si>
  <si>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</si>
  <si>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</si>
  <si>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</si>
  <si>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</si>
  <si>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</si>
  <si>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</si>
  <si>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</si>
  <si>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</si>
  <si>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</si>
  <si>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</si>
  <si>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</si>
  <si>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</si>
  <si>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</si>
  <si>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</si>
  <si>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</si>
  <si>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</si>
  <si>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</si>
  <si>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</si>
  <si>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</si>
  <si>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</si>
  <si>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</si>
  <si>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</si>
  <si>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</si>
  <si>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</si>
  <si>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</si>
  <si>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</si>
  <si>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</si>
  <si>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</si>
  <si>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</si>
  <si>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</si>
  <si>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</si>
  <si>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</si>
  <si>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</si>
  <si>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</si>
  <si>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</si>
  <si>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</si>
  <si>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</si>
  <si>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</si>
  <si>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</si>
  <si>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</si>
  <si>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</si>
  <si>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</si>
  <si>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</si>
  <si>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</si>
  <si>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</si>
  <si>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</si>
  <si>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</si>
  <si>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</si>
  <si>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</si>
  <si>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</si>
  <si>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</si>
  <si>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</si>
  <si>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</si>
  <si>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</si>
  <si>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</si>
  <si>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</si>
  <si>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</si>
  <si>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</si>
  <si>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</si>
  <si>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</si>
  <si>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</si>
  <si>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</si>
  <si>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</si>
  <si>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</si>
  <si>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</si>
  <si>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</si>
  <si>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</si>
  <si>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</si>
  <si>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</si>
  <si>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</si>
  <si>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</si>
  <si>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</si>
  <si>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</si>
  <si>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</si>
  <si>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</si>
  <si>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</si>
  <si>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</si>
  <si>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</si>
  <si>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</si>
  <si>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</si>
  <si>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</si>
  <si>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</si>
  <si>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</si>
  <si>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</si>
  <si>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</si>
  <si>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</si>
  <si>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</si>
  <si>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</si>
  <si>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</si>
  <si>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</si>
  <si>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</si>
  <si>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</si>
  <si>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</si>
  <si>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</si>
  <si>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</si>
  <si>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</si>
  <si>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</si>
  <si>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</si>
  <si>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</si>
  <si>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</si>
  <si>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</si>
  <si>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</si>
  <si>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</si>
  <si>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</si>
  <si>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</si>
  <si>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</si>
  <si>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</si>
  <si>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</si>
  <si>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</si>
  <si>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</si>
  <si>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</si>
  <si>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</si>
  <si>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</si>
  <si>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</si>
  <si>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</si>
  <si>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</si>
  <si>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</si>
  <si>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</si>
  <si>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</si>
  <si>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</si>
  <si>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</si>
  <si>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</si>
  <si>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</si>
  <si>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</si>
  <si>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</si>
  <si>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</si>
  <si>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</si>
  <si>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</si>
  <si>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</si>
  <si>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</si>
  <si>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</si>
  <si>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</si>
  <si>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</si>
  <si>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</si>
  <si>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</si>
  <si>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</si>
  <si>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</si>
  <si>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</si>
  <si>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</si>
  <si>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</si>
  <si>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</si>
  <si>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</si>
  <si>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</si>
  <si>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</si>
  <si>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</si>
  <si>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</si>
  <si>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</si>
  <si>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</si>
  <si>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</si>
  <si>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</si>
  <si>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</si>
  <si>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</si>
  <si>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</si>
  <si>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</si>
  <si>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</si>
  <si>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</si>
  <si>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</si>
  <si>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</si>
  <si>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</si>
  <si>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</si>
  <si>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</si>
  <si>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</si>
  <si>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</si>
  <si>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</si>
  <si>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</si>
  <si>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</si>
  <si>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</si>
  <si>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</si>
  <si>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</si>
  <si>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</si>
  <si>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</si>
  <si>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</si>
  <si>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</si>
  <si>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</si>
  <si>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</si>
  <si>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</si>
  <si>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</si>
  <si>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</si>
  <si>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</si>
  <si>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</si>
  <si>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</si>
  <si>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</si>
  <si>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</si>
  <si>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</si>
  <si>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</si>
  <si>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</si>
  <si>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</si>
  <si>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</si>
  <si>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</si>
  <si>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</si>
  <si>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</si>
  <si>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</si>
  <si>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</si>
  <si>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</si>
  <si>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</si>
  <si>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</si>
  <si>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</si>
  <si>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</si>
  <si>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</si>
  <si>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</si>
  <si>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</si>
  <si>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</si>
  <si>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</si>
  <si>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</si>
  <si>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</si>
  <si>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</si>
  <si>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</si>
  <si>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</si>
  <si>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</si>
  <si>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</si>
  <si>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-</t>
  </si>
  <si>
    <t>Subscription Price</t>
  </si>
  <si>
    <t>Soma de Total Value</t>
  </si>
  <si>
    <t>Rótulos de Linha</t>
  </si>
  <si>
    <t>Total Geral</t>
  </si>
  <si>
    <t>Rótulos de Coluna</t>
  </si>
  <si>
    <t>Soma de Coupon Value</t>
  </si>
  <si>
    <t>Soma de Minecraft Season Pass Price</t>
  </si>
  <si>
    <t>Soma de EA Play Season Pass</t>
  </si>
  <si>
    <t>Contagem de Plan</t>
  </si>
  <si>
    <t>Contagem de Auto Renewal</t>
  </si>
  <si>
    <t>Receita total gerada por assinante (considerando plano + passes + descontos)</t>
  </si>
  <si>
    <t xml:space="preserve"> Volume de vendas por tipo de plano (Mensal, Trimestral, Anual)</t>
  </si>
  <si>
    <t>Distribuição de assinantes com renovação automática ativada vs. Desativada</t>
  </si>
  <si>
    <t>Impacto dos cupons de desconto no valor final da assinatura</t>
  </si>
  <si>
    <t>Soma de Subscription Price</t>
  </si>
  <si>
    <t>XBOX GAMES PASS SUBSCRIPTIONS SALES</t>
  </si>
  <si>
    <t>Total de cupom de desconto</t>
  </si>
  <si>
    <t>Soma  sem desconto</t>
  </si>
  <si>
    <t>Distribuição de assinantes com renovação automática ativada vs. desativada</t>
  </si>
  <si>
    <t>Receita total gerada por assinante (considerando plano + passes - descontos)</t>
  </si>
  <si>
    <t>EA Play Season Pass Price</t>
  </si>
  <si>
    <t>Soma de Porcentagem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</si>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</sst>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22C55E"/>
      <name val="Aptos Narrow"/>
      <family val="2"/>
      <scheme val="minor"/>
    </font>
    <font>
      <b/>
      <sz val="22"/>
      <color rgb="FF22C55E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7" borderId="0" xfId="0" applyFont="1" applyFill="1"/>
    <xf numFmtId="0" fontId="4" fillId="7" borderId="0" xfId="0" applyFont="1" applyFill="1"/>
    <xf numFmtId="0" fontId="4" fillId="8" borderId="0" xfId="0" applyFont="1" applyFill="1"/>
    <xf numFmtId="0" fontId="0" fillId="8" borderId="0" xfId="0" applyFill="1"/>
    <xf numFmtId="0" fontId="6" fillId="7" borderId="0" xfId="0" applyFont="1" applyFill="1" applyAlignment="1">
      <alignment vertical="center" wrapText="1"/>
    </xf>
    <xf numFmtId="10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6" fillId="7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9" fontId="0" fillId="0" borderId="0" xfId="3" applyFont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48"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FFFFFF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CAF9C579-19D7-4ACC-AADC-E27170CB9A4F}">
      <tableStyleElement type="wholeTable" dxfId="47"/>
      <tableStyleElement type="headerRow" dxfId="46"/>
    </tableStyle>
  </tableStyles>
  <colors>
    <mruColors>
      <color rgb="FF9BC848"/>
      <color rgb="FFE0E0E0"/>
      <color rgb="FFFFFFFF"/>
      <color rgb="FF5BF6A8"/>
      <color rgb="FFE8E6E9"/>
      <color rgb="FF22C55E"/>
      <color rgb="FF00000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9"/>
              <bgColor rgb="FF9BC848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Excel_Xbox.xlsx]C̳álculos!Tabela _volume</c:name>
    <c:fmtId val="4"/>
  </c:pivotSource>
  <c:chart>
    <c:autoTitleDeleted val="1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088967531869051E-2"/>
          <c:y val="7.3988521613935446E-2"/>
          <c:w val="0.90283968328715514"/>
          <c:h val="0.84222766373856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C̳álculos!$C$5:$C$8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A-41AE-9CCE-03807D0EA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911856"/>
        <c:axId val="2110932976"/>
      </c:barChart>
      <c:catAx>
        <c:axId val="21109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932976"/>
        <c:crosses val="autoZero"/>
        <c:auto val="1"/>
        <c:lblAlgn val="ctr"/>
        <c:lblOffset val="100"/>
        <c:noMultiLvlLbl val="0"/>
      </c:catAx>
      <c:valAx>
        <c:axId val="21109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91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Excel_Xbox.xlsx]C̳álculos!Tabela_renovacao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242046329039531E-2"/>
          <c:y val="5.4552396814235092E-2"/>
          <c:w val="0.91603730372794434"/>
          <c:h val="0.76938170296831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C̳álculos!$C$15:$C$16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C̳álculos!$C$17:$C$20</c:f>
              <c:numCache>
                <c:formatCode>General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EB7-8031-696CE669049C}"/>
            </c:ext>
          </c:extLst>
        </c:ser>
        <c:ser>
          <c:idx val="1"/>
          <c:order val="1"/>
          <c:tx>
            <c:strRef>
              <c:f>C̳álculos!$D$15:$D$16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C̳álculos!$D$17:$D$20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9-4EB1-ACD2-2E2B7B35E2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3941792"/>
        <c:axId val="1703942272"/>
      </c:barChart>
      <c:catAx>
        <c:axId val="17039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942272"/>
        <c:crosses val="autoZero"/>
        <c:auto val="1"/>
        <c:lblAlgn val="ctr"/>
        <c:lblOffset val="100"/>
        <c:noMultiLvlLbl val="0"/>
      </c:catAx>
      <c:valAx>
        <c:axId val="170394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94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Excel_Xbox.xlsx]C̳álculos!Tabela_Receita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C̳álculos!$G$4</c:f>
              <c:strCache>
                <c:ptCount val="1"/>
                <c:pt idx="0">
                  <c:v>Soma de Subscription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C̳álculos!$G$5</c:f>
              <c:numCache>
                <c:formatCode>_("R$"* #,##0.00_);_("R$"* \(#,##0.00\);_("R$"* "-"??_);_(@_)</c:formatCode>
                <c:ptCount val="1"/>
                <c:pt idx="0">
                  <c:v>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3-44E0-8152-EB2826442E82}"/>
            </c:ext>
          </c:extLst>
        </c:ser>
        <c:ser>
          <c:idx val="1"/>
          <c:order val="1"/>
          <c:tx>
            <c:strRef>
              <c:f>C̳álculos!$H$4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C̳álculos!$H$5</c:f>
              <c:numCache>
                <c:formatCode>_("R$"* #,##0.00_);_("R$"* \(#,##0.00\);_("R$"* "-"??_);_(@_)</c:formatCode>
                <c:ptCount val="1"/>
                <c:pt idx="0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3-44E0-8152-EB2826442E82}"/>
            </c:ext>
          </c:extLst>
        </c:ser>
        <c:ser>
          <c:idx val="2"/>
          <c:order val="2"/>
          <c:tx>
            <c:strRef>
              <c:f>C̳álculos!$I$4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C̳álculos!$I$5</c:f>
              <c:numCache>
                <c:formatCode>_("R$"* #,##0.00_);_("R$"* \(#,##0.00\);_("R$"* "-"??_);_(@_)</c:formatCode>
                <c:ptCount val="1"/>
                <c:pt idx="0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3-44E0-8152-EB2826442E82}"/>
            </c:ext>
          </c:extLst>
        </c:ser>
        <c:ser>
          <c:idx val="3"/>
          <c:order val="3"/>
          <c:tx>
            <c:strRef>
              <c:f>C̳álculos!$J$4</c:f>
              <c:strCache>
                <c:ptCount val="1"/>
                <c:pt idx="0">
                  <c:v>Total de cupom de desconto</c:v>
                </c:pt>
              </c:strCache>
            </c:strRef>
          </c:tx>
          <c:spPr>
            <a:solidFill>
              <a:srgbClr val="E0E0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C̳álculos!$J$5</c:f>
              <c:numCache>
                <c:formatCode>_("R$"* #,##0.00_);_("R$"* \(#,##0.00\);_("R$"* "-"??_);_(@_)</c:formatCode>
                <c:ptCount val="1"/>
                <c:pt idx="0">
                  <c:v>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C3-44E0-8152-EB2826442E82}"/>
            </c:ext>
          </c:extLst>
        </c:ser>
        <c:ser>
          <c:idx val="4"/>
          <c:order val="4"/>
          <c:tx>
            <c:strRef>
              <c:f>C̳álculos!$K$4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C̳álculos!$K$5</c:f>
              <c:numCache>
                <c:formatCode>_("R$"* #,##0.00_);_("R$"* \(#,##0.00\);_("R$"* "-"??_);_(@_)</c:formatCode>
                <c:ptCount val="1"/>
                <c:pt idx="0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C3-44E0-8152-EB2826442E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3865472"/>
        <c:axId val="1703865952"/>
      </c:barChart>
      <c:catAx>
        <c:axId val="170386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865952"/>
        <c:crosses val="autoZero"/>
        <c:auto val="1"/>
        <c:lblAlgn val="ctr"/>
        <c:lblOffset val="100"/>
        <c:noMultiLvlLbl val="0"/>
      </c:catAx>
      <c:valAx>
        <c:axId val="17038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Excel_Xbox.xlsx]C̳álculos!Tabela_impacto_2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C̳álculos!$H$22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rgbClr val="E0E0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C̳álculos!$G$23:$G$26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C̳álculos!$H$23:$H$26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C-414E-A1F7-6167E88B0B7B}"/>
            </c:ext>
          </c:extLst>
        </c:ser>
        <c:ser>
          <c:idx val="1"/>
          <c:order val="1"/>
          <c:tx>
            <c:strRef>
              <c:f>C̳álculos!$I$22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C̳álculos!$G$23:$G$26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C̳álculos!$I$23:$I$26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C-414E-A1F7-6167E88B0B7B}"/>
            </c:ext>
          </c:extLst>
        </c:ser>
        <c:ser>
          <c:idx val="2"/>
          <c:order val="2"/>
          <c:tx>
            <c:strRef>
              <c:f>C̳álculos!$J$22</c:f>
              <c:strCache>
                <c:ptCount val="1"/>
                <c:pt idx="0">
                  <c:v>Soma de Porcentagem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C̳álculos!$G$23:$G$26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C̳álculos!$J$23:$J$26</c:f>
              <c:numCache>
                <c:formatCode>0.00%</c:formatCode>
                <c:ptCount val="3"/>
                <c:pt idx="0">
                  <c:v>0.12079207920792079</c:v>
                </c:pt>
                <c:pt idx="1">
                  <c:v>0.37465277777777778</c:v>
                </c:pt>
                <c:pt idx="2">
                  <c:v>0.15416012558869702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C-414E-A1F7-6167E88B0B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37637968"/>
        <c:axId val="2037638448"/>
      </c:barChart>
      <c:catAx>
        <c:axId val="20376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638448"/>
        <c:crosses val="autoZero"/>
        <c:auto val="1"/>
        <c:lblAlgn val="ctr"/>
        <c:lblOffset val="100"/>
        <c:noMultiLvlLbl val="0"/>
      </c:catAx>
      <c:valAx>
        <c:axId val="20376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6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4100" y="5172074"/>
          <a:ext cx="1552651" cy="71120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35719</xdr:colOff>
      <xdr:row>0</xdr:row>
      <xdr:rowOff>178594</xdr:rowOff>
    </xdr:from>
    <xdr:to>
      <xdr:col>5</xdr:col>
      <xdr:colOff>387617</xdr:colOff>
      <xdr:row>0</xdr:row>
      <xdr:rowOff>1020763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59F927-F79C-4F5B-9947-AF60D9083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86" b="21973"/>
        <a:stretch>
          <a:fillRect/>
        </a:stretch>
      </xdr:blipFill>
      <xdr:spPr>
        <a:xfrm>
          <a:off x="35719" y="184944"/>
          <a:ext cx="4224604" cy="835819"/>
        </a:xfrm>
        <a:prstGeom prst="rect">
          <a:avLst/>
        </a:prstGeom>
      </xdr:spPr>
    </xdr:pic>
    <xdr:clientData/>
  </xdr:twoCellAnchor>
  <xdr:twoCellAnchor>
    <xdr:from>
      <xdr:col>1</xdr:col>
      <xdr:colOff>161130</xdr:colOff>
      <xdr:row>5</xdr:row>
      <xdr:rowOff>323849</xdr:rowOff>
    </xdr:from>
    <xdr:to>
      <xdr:col>12</xdr:col>
      <xdr:colOff>446086</xdr:colOff>
      <xdr:row>23</xdr:row>
      <xdr:rowOff>157161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5C37536C-F5A6-9C22-4427-6BBD3015B488}"/>
            </a:ext>
          </a:extLst>
        </xdr:cNvPr>
        <xdr:cNvGrpSpPr/>
      </xdr:nvGrpSpPr>
      <xdr:grpSpPr>
        <a:xfrm>
          <a:off x="2028484" y="2419349"/>
          <a:ext cx="6448991" cy="3183844"/>
          <a:chOff x="2021680" y="2485231"/>
          <a:chExt cx="6595269" cy="320595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5484B87-F6D2-866E-FABA-965071960285}"/>
              </a:ext>
            </a:extLst>
          </xdr:cNvPr>
          <xdr:cNvSpPr/>
        </xdr:nvSpPr>
        <xdr:spPr>
          <a:xfrm>
            <a:off x="2021680" y="2485231"/>
            <a:ext cx="6595269" cy="3205956"/>
          </a:xfrm>
          <a:prstGeom prst="roundRect">
            <a:avLst>
              <a:gd name="adj" fmla="val 40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F48A951-513D-47AC-93F6-BCB1E720DC86}"/>
              </a:ext>
            </a:extLst>
          </xdr:cNvPr>
          <xdr:cNvGraphicFramePr>
            <a:graphicFrameLocks/>
          </xdr:cNvGraphicFramePr>
        </xdr:nvGraphicFramePr>
        <xdr:xfrm>
          <a:off x="2190750" y="2638422"/>
          <a:ext cx="6253955" cy="2746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6</xdr:row>
      <xdr:rowOff>73818</xdr:rowOff>
    </xdr:from>
    <xdr:to>
      <xdr:col>0</xdr:col>
      <xdr:colOff>1838325</xdr:colOff>
      <xdr:row>13</xdr:row>
      <xdr:rowOff>74612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49538F1-2D93-4408-89EA-CC0B4DABBF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02693"/>
              <a:ext cx="1835150" cy="1267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151607</xdr:colOff>
      <xdr:row>31</xdr:row>
      <xdr:rowOff>139700</xdr:rowOff>
    </xdr:from>
    <xdr:to>
      <xdr:col>12</xdr:col>
      <xdr:colOff>428623</xdr:colOff>
      <xdr:row>52</xdr:row>
      <xdr:rowOff>8731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5E1503B3-5BC2-DAC1-6F87-FAB65A91D74E}"/>
            </a:ext>
          </a:extLst>
        </xdr:cNvPr>
        <xdr:cNvGrpSpPr/>
      </xdr:nvGrpSpPr>
      <xdr:grpSpPr>
        <a:xfrm>
          <a:off x="2015786" y="7082518"/>
          <a:ext cx="6444226" cy="3583781"/>
          <a:chOff x="2008982" y="6953250"/>
          <a:chExt cx="6590504" cy="361950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A455B1B-62F4-5955-3F25-6CF8847BCF63}"/>
              </a:ext>
            </a:extLst>
          </xdr:cNvPr>
          <xdr:cNvSpPr/>
        </xdr:nvSpPr>
        <xdr:spPr>
          <a:xfrm>
            <a:off x="2008982" y="6953250"/>
            <a:ext cx="6590504" cy="3619500"/>
          </a:xfrm>
          <a:prstGeom prst="roundRect">
            <a:avLst>
              <a:gd name="adj" fmla="val 38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820F0A3D-3DBC-45BA-B493-F002B69DD424}"/>
              </a:ext>
            </a:extLst>
          </xdr:cNvPr>
          <xdr:cNvGraphicFramePr>
            <a:graphicFrameLocks/>
          </xdr:cNvGraphicFramePr>
        </xdr:nvGraphicFramePr>
        <xdr:xfrm>
          <a:off x="2131219" y="7215187"/>
          <a:ext cx="6253955" cy="32265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0</xdr:col>
      <xdr:colOff>0</xdr:colOff>
      <xdr:row>31</xdr:row>
      <xdr:rowOff>142875</xdr:rowOff>
    </xdr:from>
    <xdr:to>
      <xdr:col>0</xdr:col>
      <xdr:colOff>1819275</xdr:colOff>
      <xdr:row>37</xdr:row>
      <xdr:rowOff>165099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uto Renewal">
              <a:extLst>
                <a:ext uri="{FF2B5EF4-FFF2-40B4-BE49-F238E27FC236}">
                  <a16:creationId xmlns:a16="http://schemas.microsoft.com/office/drawing/2014/main" id="{00ECC2CD-1128-42DB-A892-B55162634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159625"/>
              <a:ext cx="1816100" cy="1108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288924</xdr:colOff>
      <xdr:row>6</xdr:row>
      <xdr:rowOff>73818</xdr:rowOff>
    </xdr:from>
    <xdr:to>
      <xdr:col>28</xdr:col>
      <xdr:colOff>523874</xdr:colOff>
      <xdr:row>24</xdr:row>
      <xdr:rowOff>46830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909B76E0-1967-9CA3-B595-45B30D447958}"/>
            </a:ext>
          </a:extLst>
        </xdr:cNvPr>
        <xdr:cNvGrpSpPr/>
      </xdr:nvGrpSpPr>
      <xdr:grpSpPr>
        <a:xfrm>
          <a:off x="11324317" y="2509497"/>
          <a:ext cx="7028089" cy="3160258"/>
          <a:chOff x="11456987" y="2505869"/>
          <a:chExt cx="6917531" cy="3875881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B84849A6-1F79-B84D-C45A-0EE9625EA38A}"/>
              </a:ext>
            </a:extLst>
          </xdr:cNvPr>
          <xdr:cNvSpPr/>
        </xdr:nvSpPr>
        <xdr:spPr>
          <a:xfrm>
            <a:off x="11456987" y="2505869"/>
            <a:ext cx="6917531" cy="3875881"/>
          </a:xfrm>
          <a:prstGeom prst="roundRect">
            <a:avLst>
              <a:gd name="adj" fmla="val 34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87496C95-77EA-404F-AF8D-ADB3F6825CED}"/>
              </a:ext>
            </a:extLst>
          </xdr:cNvPr>
          <xdr:cNvGraphicFramePr>
            <a:graphicFrameLocks/>
          </xdr:cNvGraphicFramePr>
        </xdr:nvGraphicFramePr>
        <xdr:xfrm>
          <a:off x="11593513" y="2711450"/>
          <a:ext cx="6665118" cy="35004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14</xdr:col>
      <xdr:colOff>30163</xdr:colOff>
      <xdr:row>6</xdr:row>
      <xdr:rowOff>73818</xdr:rowOff>
    </xdr:from>
    <xdr:to>
      <xdr:col>16</xdr:col>
      <xdr:colOff>1021556</xdr:colOff>
      <xdr:row>14</xdr:row>
      <xdr:rowOff>50005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lan">
              <a:extLst>
                <a:ext uri="{FF2B5EF4-FFF2-40B4-BE49-F238E27FC236}">
                  <a16:creationId xmlns:a16="http://schemas.microsoft.com/office/drawing/2014/main" id="{BC8E0414-6412-4F30-93BB-81BDD61F87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2838" y="2502693"/>
              <a:ext cx="2210593" cy="1420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285749</xdr:colOff>
      <xdr:row>31</xdr:row>
      <xdr:rowOff>142875</xdr:rowOff>
    </xdr:from>
    <xdr:to>
      <xdr:col>28</xdr:col>
      <xdr:colOff>511968</xdr:colOff>
      <xdr:row>52</xdr:row>
      <xdr:rowOff>3174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C13D65E-2528-CA4E-E6CF-9A007242244B}"/>
            </a:ext>
          </a:extLst>
        </xdr:cNvPr>
        <xdr:cNvGrpSpPr/>
      </xdr:nvGrpSpPr>
      <xdr:grpSpPr>
        <a:xfrm>
          <a:off x="11321142" y="7079343"/>
          <a:ext cx="7016183" cy="3578224"/>
          <a:chOff x="11453812" y="6896894"/>
          <a:chExt cx="6905625" cy="3607593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BBE55D7-5C4D-4CEC-B91B-539E906099D9}"/>
              </a:ext>
            </a:extLst>
          </xdr:cNvPr>
          <xdr:cNvSpPr/>
        </xdr:nvSpPr>
        <xdr:spPr>
          <a:xfrm>
            <a:off x="11453812" y="6896894"/>
            <a:ext cx="6905625" cy="3607593"/>
          </a:xfrm>
          <a:prstGeom prst="roundRect">
            <a:avLst>
              <a:gd name="adj" fmla="val 412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2BB0089F-8447-4CB7-881B-825FEEC4F989}"/>
              </a:ext>
            </a:extLst>
          </xdr:cNvPr>
          <xdr:cNvGraphicFramePr>
            <a:graphicFrameLocks/>
          </xdr:cNvGraphicFramePr>
        </xdr:nvGraphicFramePr>
        <xdr:xfrm>
          <a:off x="11635582" y="7054055"/>
          <a:ext cx="6565900" cy="33043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24</xdr:col>
      <xdr:colOff>425450</xdr:colOff>
      <xdr:row>1</xdr:row>
      <xdr:rowOff>83343</xdr:rowOff>
    </xdr:from>
    <xdr:to>
      <xdr:col>28</xdr:col>
      <xdr:colOff>392907</xdr:colOff>
      <xdr:row>5</xdr:row>
      <xdr:rowOff>295275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001E439-958A-E060-9E26-6F5E61EFEC16}"/>
            </a:ext>
          </a:extLst>
        </xdr:cNvPr>
        <xdr:cNvGrpSpPr/>
      </xdr:nvGrpSpPr>
      <xdr:grpSpPr>
        <a:xfrm>
          <a:off x="15750268" y="1365589"/>
          <a:ext cx="2464821" cy="1022011"/>
          <a:chOff x="15445582" y="1434306"/>
          <a:chExt cx="2449513" cy="1033066"/>
        </a:xfrm>
      </xdr:grpSpPr>
      <xdr:sp macro="" textlink="C̳álculos!O5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44EC35A4-5B5D-96F0-A847-B81DFF56A4AC}"/>
              </a:ext>
            </a:extLst>
          </xdr:cNvPr>
          <xdr:cNvSpPr/>
        </xdr:nvSpPr>
        <xdr:spPr>
          <a:xfrm>
            <a:off x="15445582" y="1434306"/>
            <a:ext cx="2449513" cy="1033066"/>
          </a:xfrm>
          <a:prstGeom prst="roundRect">
            <a:avLst>
              <a:gd name="adj" fmla="val 97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16CDF09-A4A1-4013-B825-4A144A830FCC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ctr"/>
              <a:t> R$ 7.633,00 </a:t>
            </a:fld>
            <a:endParaRPr lang="pt-BR" sz="2800" b="1"/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50216AC6-1065-EFB0-F962-89BCD09407C6}"/>
              </a:ext>
            </a:extLst>
          </xdr:cNvPr>
          <xdr:cNvSpPr/>
        </xdr:nvSpPr>
        <xdr:spPr>
          <a:xfrm>
            <a:off x="15454313" y="1437452"/>
            <a:ext cx="2419350" cy="378791"/>
          </a:xfrm>
          <a:prstGeom prst="round2SameRect">
            <a:avLst/>
          </a:prstGeom>
          <a:solidFill>
            <a:srgbClr val="9BC848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97" name="Text Box 1">
            <a:extLst>
              <a:ext uri="{FF2B5EF4-FFF2-40B4-BE49-F238E27FC236}">
                <a16:creationId xmlns:a16="http://schemas.microsoft.com/office/drawing/2014/main" id="{E3C9F832-8123-BB8D-B0EC-D23C25E0A8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40831" y="1476375"/>
            <a:ext cx="2259011" cy="3020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pt-BR" sz="1800" b="1" i="0" u="none" strike="noStrike" baseline="0">
                <a:solidFill>
                  <a:srgbClr val="000000"/>
                </a:solidFill>
                <a:latin typeface="Aptos Narrow"/>
              </a:rPr>
              <a:t>Receita total </a:t>
            </a:r>
          </a:p>
        </xdr:txBody>
      </xdr:sp>
    </xdr:grpSp>
    <xdr:clientData/>
  </xdr:twoCellAnchor>
  <xdr:twoCellAnchor>
    <xdr:from>
      <xdr:col>8</xdr:col>
      <xdr:colOff>47625</xdr:colOff>
      <xdr:row>1</xdr:row>
      <xdr:rowOff>86518</xdr:rowOff>
    </xdr:from>
    <xdr:to>
      <xdr:col>12</xdr:col>
      <xdr:colOff>218282</xdr:colOff>
      <xdr:row>5</xdr:row>
      <xdr:rowOff>220662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B1F1D9B-33B8-46D9-816E-A72BE4A3A91B}"/>
            </a:ext>
          </a:extLst>
        </xdr:cNvPr>
        <xdr:cNvGrpSpPr/>
      </xdr:nvGrpSpPr>
      <xdr:grpSpPr>
        <a:xfrm>
          <a:off x="5773057" y="1362414"/>
          <a:ext cx="2476614" cy="950573"/>
          <a:chOff x="15445582" y="1434306"/>
          <a:chExt cx="2449513" cy="1033066"/>
        </a:xfrm>
      </xdr:grpSpPr>
      <xdr:sp macro="" textlink="C̳álculos!D8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FB6B7718-34A2-716F-E06D-B6B6EB6133BA}"/>
              </a:ext>
            </a:extLst>
          </xdr:cNvPr>
          <xdr:cNvSpPr/>
        </xdr:nvSpPr>
        <xdr:spPr>
          <a:xfrm>
            <a:off x="15445582" y="1434306"/>
            <a:ext cx="2449513" cy="1033066"/>
          </a:xfrm>
          <a:prstGeom prst="roundRect">
            <a:avLst>
              <a:gd name="adj" fmla="val 97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6124399-F5BB-4BCB-9053-7F42460B8390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ctr"/>
              <a:t>295</a:t>
            </a:fld>
            <a:endParaRPr lang="pt-BR" sz="6000" b="1"/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499C7DC-19FB-4DE8-1EE6-FD03E94119E7}"/>
              </a:ext>
            </a:extLst>
          </xdr:cNvPr>
          <xdr:cNvSpPr/>
        </xdr:nvSpPr>
        <xdr:spPr>
          <a:xfrm>
            <a:off x="15454313" y="1437452"/>
            <a:ext cx="2419350" cy="378791"/>
          </a:xfrm>
          <a:prstGeom prst="round2SameRect">
            <a:avLst/>
          </a:prstGeom>
          <a:solidFill>
            <a:srgbClr val="9BC848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7" name="Text Box 1">
            <a:extLst>
              <a:ext uri="{FF2B5EF4-FFF2-40B4-BE49-F238E27FC236}">
                <a16:creationId xmlns:a16="http://schemas.microsoft.com/office/drawing/2014/main" id="{DC2E7ADF-99F2-2996-233E-FEEBFB2D65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40831" y="1476375"/>
            <a:ext cx="2259011" cy="3020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pt-BR" sz="1800" b="1" i="0" u="none" strike="noStrike" baseline="0">
                <a:solidFill>
                  <a:srgbClr val="000000"/>
                </a:solidFill>
                <a:latin typeface="Aptos Narrow"/>
              </a:rPr>
              <a:t>Volume Total</a:t>
            </a:r>
          </a:p>
        </xdr:txBody>
      </xdr:sp>
    </xdr:grpSp>
    <xdr:clientData/>
  </xdr:twoCellAnchor>
  <xdr:twoCellAnchor>
    <xdr:from>
      <xdr:col>8</xdr:col>
      <xdr:colOff>47626</xdr:colOff>
      <xdr:row>26</xdr:row>
      <xdr:rowOff>76200</xdr:rowOff>
    </xdr:from>
    <xdr:to>
      <xdr:col>12</xdr:col>
      <xdr:colOff>218283</xdr:colOff>
      <xdr:row>31</xdr:row>
      <xdr:rowOff>54769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5E53A13B-4DE0-453E-805F-7C07A94F8161}"/>
            </a:ext>
          </a:extLst>
        </xdr:cNvPr>
        <xdr:cNvGrpSpPr/>
      </xdr:nvGrpSpPr>
      <xdr:grpSpPr>
        <a:xfrm>
          <a:off x="5773058" y="6049736"/>
          <a:ext cx="2476614" cy="944676"/>
          <a:chOff x="15442417" y="1434306"/>
          <a:chExt cx="2449513" cy="1033066"/>
        </a:xfrm>
      </xdr:grpSpPr>
      <xdr:sp macro="" textlink="C̳álculos!D21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2CE97683-2921-0C18-4906-691C470825F1}"/>
              </a:ext>
            </a:extLst>
          </xdr:cNvPr>
          <xdr:cNvSpPr/>
        </xdr:nvSpPr>
        <xdr:spPr>
          <a:xfrm>
            <a:off x="15442417" y="1434306"/>
            <a:ext cx="2449513" cy="1033066"/>
          </a:xfrm>
          <a:prstGeom prst="roundRect">
            <a:avLst>
              <a:gd name="adj" fmla="val 97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A1A305D-2E22-42DE-813E-C7E876DC7ECC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ctr"/>
              <a:t>295</a:t>
            </a:fld>
            <a:endParaRPr lang="pt-BR" sz="41300" b="1"/>
          </a:p>
        </xdr:txBody>
      </xdr: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62B9E1D8-CFF8-F70C-49B7-F0C9C89C24F9}"/>
              </a:ext>
            </a:extLst>
          </xdr:cNvPr>
          <xdr:cNvSpPr/>
        </xdr:nvSpPr>
        <xdr:spPr>
          <a:xfrm>
            <a:off x="15454313" y="1437452"/>
            <a:ext cx="2419350" cy="378791"/>
          </a:xfrm>
          <a:prstGeom prst="round2SameRect">
            <a:avLst/>
          </a:prstGeom>
          <a:solidFill>
            <a:srgbClr val="9BC848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">
        <xdr:nvSpPr>
          <xdr:cNvPr id="31" name="Text Box 1">
            <a:extLst>
              <a:ext uri="{FF2B5EF4-FFF2-40B4-BE49-F238E27FC236}">
                <a16:creationId xmlns:a16="http://schemas.microsoft.com/office/drawing/2014/main" id="{48AE4310-0F33-2FAB-7AC6-E6F502A7A2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40831" y="1476375"/>
            <a:ext cx="2259011" cy="3020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pt-BR" sz="1800" b="1" i="0" u="none" strike="noStrike" baseline="0">
                <a:solidFill>
                  <a:srgbClr val="000000"/>
                </a:solidFill>
                <a:latin typeface="Aptos Narrow"/>
              </a:rPr>
              <a:t>Total renovação</a:t>
            </a:r>
          </a:p>
        </xdr:txBody>
      </xdr:sp>
    </xdr:grpSp>
    <xdr:clientData/>
  </xdr:twoCellAnchor>
  <xdr:twoCellAnchor>
    <xdr:from>
      <xdr:col>24</xdr:col>
      <xdr:colOff>425450</xdr:colOff>
      <xdr:row>26</xdr:row>
      <xdr:rowOff>57150</xdr:rowOff>
    </xdr:from>
    <xdr:to>
      <xdr:col>28</xdr:col>
      <xdr:colOff>392907</xdr:colOff>
      <xdr:row>31</xdr:row>
      <xdr:rowOff>35719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C56B216-49F9-42AC-BE3B-8A103940B33C}"/>
            </a:ext>
          </a:extLst>
        </xdr:cNvPr>
        <xdr:cNvGrpSpPr/>
      </xdr:nvGrpSpPr>
      <xdr:grpSpPr>
        <a:xfrm>
          <a:off x="15750268" y="6030686"/>
          <a:ext cx="2464821" cy="944676"/>
          <a:chOff x="15445582" y="1434306"/>
          <a:chExt cx="2449513" cy="1033066"/>
        </a:xfrm>
      </xdr:grpSpPr>
      <xdr:sp macro="" textlink="C̳álculos!J27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9E51A7AC-0A1C-A146-B94E-79E56793C3C9}"/>
              </a:ext>
            </a:extLst>
          </xdr:cNvPr>
          <xdr:cNvSpPr/>
        </xdr:nvSpPr>
        <xdr:spPr>
          <a:xfrm>
            <a:off x="15445582" y="1434306"/>
            <a:ext cx="2449513" cy="1033066"/>
          </a:xfrm>
          <a:prstGeom prst="roundRect">
            <a:avLst>
              <a:gd name="adj" fmla="val 97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A86C636-E030-46B2-B240-A13CFD1F34D7}" type="TxLink">
              <a:rPr lang="en-US" sz="2800" b="1" i="0" u="none" strike="noStrike">
                <a:solidFill>
                  <a:srgbClr val="000000"/>
                </a:solidFill>
                <a:latin typeface="Aptos Narrow"/>
              </a:rPr>
              <a:pPr algn="ctr"/>
              <a:t>21,75%</a:t>
            </a:fld>
            <a:endParaRPr lang="pt-BR" sz="6000" b="1"/>
          </a:p>
        </xdr:txBody>
      </xdr:sp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A734957F-C831-6133-D59E-6C14DE29CF96}"/>
              </a:ext>
            </a:extLst>
          </xdr:cNvPr>
          <xdr:cNvSpPr/>
        </xdr:nvSpPr>
        <xdr:spPr>
          <a:xfrm>
            <a:off x="15454313" y="1437452"/>
            <a:ext cx="2419350" cy="378791"/>
          </a:xfrm>
          <a:prstGeom prst="round2SameRect">
            <a:avLst/>
          </a:prstGeom>
          <a:solidFill>
            <a:srgbClr val="9BC848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Text Box 1">
            <a:extLst>
              <a:ext uri="{FF2B5EF4-FFF2-40B4-BE49-F238E27FC236}">
                <a16:creationId xmlns:a16="http://schemas.microsoft.com/office/drawing/2014/main" id="{184C73FC-CA5B-0310-2594-8D9EC6F594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40831" y="1476375"/>
            <a:ext cx="2259011" cy="3020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pt-BR" sz="1800" b="1" i="0" u="none" strike="noStrike" baseline="0">
                <a:solidFill>
                  <a:srgbClr val="000000"/>
                </a:solidFill>
                <a:latin typeface="Aptos Narrow"/>
              </a:rPr>
              <a:t>Desconto </a:t>
            </a:r>
          </a:p>
        </xdr:txBody>
      </xdr:sp>
    </xdr:grpSp>
    <xdr:clientData/>
  </xdr:twoCellAnchor>
  <xdr:twoCellAnchor editAs="oneCell">
    <xdr:from>
      <xdr:col>14</xdr:col>
      <xdr:colOff>44450</xdr:colOff>
      <xdr:row>31</xdr:row>
      <xdr:rowOff>142875</xdr:rowOff>
    </xdr:from>
    <xdr:to>
      <xdr:col>16</xdr:col>
      <xdr:colOff>1028700</xdr:colOff>
      <xdr:row>38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Plan 1">
              <a:extLst>
                <a:ext uri="{FF2B5EF4-FFF2-40B4-BE49-F238E27FC236}">
                  <a16:creationId xmlns:a16="http://schemas.microsoft.com/office/drawing/2014/main" id="{386FA569-0016-4F4C-AF2D-FD682AD70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5" y="7159625"/>
              <a:ext cx="2200275" cy="1298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o santana" refreshedDate="46041.696174189812" createdVersion="8" refreshedVersion="8" minRefreshableVersion="3" recordCount="295" xr:uid="{33690615-7563-47BC-96DD-386FB0FFCE0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Soma  sem desconto" numFmtId="44">
      <sharedItems containsSemiMixedTypes="0" containsString="0" containsNumber="1" containsInteger="1" minValue="5" maxValue="65" count="3">
        <n v="65"/>
        <n v="5"/>
        <n v="3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Porcentagem" numFmtId="0" formula="'Coupon Value' / ('Subscription Price'+'EA Play Season Pass_x000a_Price'+'Minecraft Season Pass Price')" databaseField="0"/>
  </cacheFields>
  <extLst>
    <ext xmlns:x14="http://schemas.microsoft.com/office/spreadsheetml/2009/9/main" uri="{725AE2AE-9491-48be-B2B4-4EB974FC3084}">
      <x14:pivotCacheDefinition pivotCacheId="12860124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x v="0"/>
    <n v="5"/>
    <n v="60"/>
  </r>
  <r>
    <n v="3232"/>
    <s v="Maria Oliveira"/>
    <x v="1"/>
    <d v="2024-01-15T00:00:00"/>
    <x v="1"/>
    <n v="5"/>
    <x v="1"/>
    <s v="No"/>
    <s v="-"/>
    <s v="No"/>
    <n v="0"/>
    <x v="1"/>
    <n v="0"/>
    <n v="5"/>
  </r>
  <r>
    <n v="3233"/>
    <s v="Lucas Fernandes"/>
    <x v="2"/>
    <d v="2024-02-10T00:00:00"/>
    <x v="0"/>
    <n v="10"/>
    <x v="2"/>
    <s v="No"/>
    <s v="-"/>
    <s v="Yes"/>
    <n v="20"/>
    <x v="2"/>
    <n v="10"/>
    <n v="20"/>
  </r>
  <r>
    <n v="3234"/>
    <s v="Ana Souza"/>
    <x v="0"/>
    <d v="2024-02-20T00:00:00"/>
    <x v="1"/>
    <n v="15"/>
    <x v="0"/>
    <s v="Yes"/>
    <n v="30"/>
    <s v="Yes"/>
    <n v="20"/>
    <x v="0"/>
    <n v="3"/>
    <n v="62"/>
  </r>
  <r>
    <n v="3235"/>
    <s v="Pedro Gonçalves"/>
    <x v="1"/>
    <d v="2024-03-05T00:00:00"/>
    <x v="0"/>
    <n v="5"/>
    <x v="0"/>
    <s v="No"/>
    <s v="-"/>
    <s v="No"/>
    <n v="0"/>
    <x v="1"/>
    <n v="1"/>
    <n v="4"/>
  </r>
  <r>
    <n v="3236"/>
    <s v="Felipe Costa"/>
    <x v="2"/>
    <d v="2024-03-02T00:00:00"/>
    <x v="1"/>
    <n v="10"/>
    <x v="0"/>
    <s v="No"/>
    <s v="-"/>
    <s v="Yes"/>
    <n v="20"/>
    <x v="2"/>
    <n v="2"/>
    <n v="28"/>
  </r>
  <r>
    <n v="3237"/>
    <s v="Camila Ribeiro"/>
    <x v="0"/>
    <d v="2024-03-03T00:00:00"/>
    <x v="0"/>
    <n v="15"/>
    <x v="2"/>
    <s v="Yes"/>
    <n v="30"/>
    <s v="Yes"/>
    <n v="20"/>
    <x v="0"/>
    <n v="10"/>
    <n v="55"/>
  </r>
  <r>
    <n v="3238"/>
    <s v="André Mendes"/>
    <x v="1"/>
    <d v="2024-03-04T00:00:00"/>
    <x v="0"/>
    <n v="5"/>
    <x v="1"/>
    <s v="No"/>
    <s v="-"/>
    <s v="No"/>
    <n v="0"/>
    <x v="1"/>
    <n v="0"/>
    <n v="5"/>
  </r>
  <r>
    <n v="3239"/>
    <s v="Sofia Almeida"/>
    <x v="0"/>
    <d v="2024-03-05T00:00:00"/>
    <x v="1"/>
    <n v="15"/>
    <x v="0"/>
    <s v="Yes"/>
    <n v="30"/>
    <s v="Yes"/>
    <n v="20"/>
    <x v="0"/>
    <n v="5"/>
    <n v="60"/>
  </r>
  <r>
    <n v="3240"/>
    <s v="Bruno Martins"/>
    <x v="2"/>
    <d v="2024-03-06T00:00:00"/>
    <x v="0"/>
    <n v="10"/>
    <x v="2"/>
    <s v="No"/>
    <s v="-"/>
    <s v="Yes"/>
    <n v="20"/>
    <x v="2"/>
    <n v="15"/>
    <n v="15"/>
  </r>
  <r>
    <n v="3241"/>
    <s v="Rita Castro"/>
    <x v="1"/>
    <d v="2024-03-07T00:00:00"/>
    <x v="1"/>
    <n v="5"/>
    <x v="0"/>
    <s v="No"/>
    <s v="-"/>
    <s v="No"/>
    <n v="0"/>
    <x v="1"/>
    <n v="1"/>
    <n v="4"/>
  </r>
  <r>
    <n v="3242"/>
    <s v="Marco Túlio"/>
    <x v="0"/>
    <d v="2024-03-08T00:00:00"/>
    <x v="0"/>
    <n v="15"/>
    <x v="1"/>
    <s v="Yes"/>
    <n v="30"/>
    <s v="Yes"/>
    <n v="20"/>
    <x v="0"/>
    <n v="20"/>
    <n v="45"/>
  </r>
  <r>
    <n v="3243"/>
    <s v="Lívia Silveira"/>
    <x v="2"/>
    <d v="2024-03-09T00:00:00"/>
    <x v="1"/>
    <n v="10"/>
    <x v="0"/>
    <s v="No"/>
    <s v="-"/>
    <s v="Yes"/>
    <n v="20"/>
    <x v="2"/>
    <n v="10"/>
    <n v="20"/>
  </r>
  <r>
    <n v="3244"/>
    <s v="Diogo Sousa"/>
    <x v="1"/>
    <d v="2024-03-10T00:00:00"/>
    <x v="0"/>
    <n v="5"/>
    <x v="2"/>
    <s v="No"/>
    <s v="-"/>
    <s v="No"/>
    <n v="0"/>
    <x v="1"/>
    <n v="0"/>
    <n v="5"/>
  </r>
  <r>
    <n v="3245"/>
    <s v="Fernanda Lima"/>
    <x v="0"/>
    <d v="2024-03-11T00:00:00"/>
    <x v="1"/>
    <n v="15"/>
    <x v="0"/>
    <s v="Yes"/>
    <n v="30"/>
    <s v="Yes"/>
    <n v="20"/>
    <x v="0"/>
    <n v="8"/>
    <n v="57"/>
  </r>
  <r>
    <n v="3246"/>
    <s v="Caio Pereira"/>
    <x v="2"/>
    <d v="2024-03-12T00:00:00"/>
    <x v="0"/>
    <n v="10"/>
    <x v="1"/>
    <s v="No"/>
    <s v="-"/>
    <s v="Yes"/>
    <n v="20"/>
    <x v="2"/>
    <n v="12"/>
    <n v="18"/>
  </r>
  <r>
    <n v="3247"/>
    <s v="Beatriz Gomes"/>
    <x v="1"/>
    <d v="2024-03-13T00:00:00"/>
    <x v="1"/>
    <n v="5"/>
    <x v="0"/>
    <s v="No"/>
    <s v="-"/>
    <s v="No"/>
    <n v="0"/>
    <x v="1"/>
    <n v="2"/>
    <n v="3"/>
  </r>
  <r>
    <n v="3248"/>
    <s v="Cesar Oliveira"/>
    <x v="0"/>
    <d v="2024-03-14T00:00:00"/>
    <x v="0"/>
    <n v="15"/>
    <x v="2"/>
    <s v="Yes"/>
    <n v="30"/>
    <s v="Yes"/>
    <n v="20"/>
    <x v="0"/>
    <n v="7"/>
    <n v="58"/>
  </r>
  <r>
    <n v="3249"/>
    <s v="Débora Machado"/>
    <x v="2"/>
    <d v="2024-03-15T00:00:00"/>
    <x v="1"/>
    <n v="10"/>
    <x v="0"/>
    <s v="No"/>
    <s v="-"/>
    <s v="Yes"/>
    <n v="20"/>
    <x v="2"/>
    <n v="5"/>
    <n v="25"/>
  </r>
  <r>
    <n v="3250"/>
    <s v="Eduardo Vargas"/>
    <x v="1"/>
    <d v="2024-03-16T00:00:00"/>
    <x v="0"/>
    <n v="5"/>
    <x v="1"/>
    <s v="No"/>
    <s v="-"/>
    <s v="No"/>
    <n v="0"/>
    <x v="1"/>
    <n v="0"/>
    <n v="5"/>
  </r>
  <r>
    <n v="3251"/>
    <s v="Gabriela Santos"/>
    <x v="0"/>
    <d v="2024-03-17T00:00:00"/>
    <x v="1"/>
    <n v="15"/>
    <x v="0"/>
    <s v="Yes"/>
    <n v="30"/>
    <s v="Yes"/>
    <n v="20"/>
    <x v="0"/>
    <n v="3"/>
    <n v="62"/>
  </r>
  <r>
    <n v="3252"/>
    <s v="Henrique Dias"/>
    <x v="2"/>
    <d v="2024-03-18T00:00:00"/>
    <x v="0"/>
    <n v="10"/>
    <x v="2"/>
    <s v="No"/>
    <s v="-"/>
    <s v="Yes"/>
    <n v="20"/>
    <x v="2"/>
    <n v="15"/>
    <n v="15"/>
  </r>
  <r>
    <n v="3253"/>
    <s v="Isabela Moreira"/>
    <x v="1"/>
    <d v="2024-03-19T00:00:00"/>
    <x v="1"/>
    <n v="5"/>
    <x v="0"/>
    <s v="No"/>
    <s v="-"/>
    <s v="No"/>
    <n v="0"/>
    <x v="1"/>
    <n v="1"/>
    <n v="4"/>
  </r>
  <r>
    <n v="3254"/>
    <s v="Joaquim Barbosa"/>
    <x v="0"/>
    <d v="2024-03-20T00:00:00"/>
    <x v="0"/>
    <n v="15"/>
    <x v="1"/>
    <s v="Yes"/>
    <n v="30"/>
    <s v="Yes"/>
    <n v="20"/>
    <x v="0"/>
    <n v="20"/>
    <n v="45"/>
  </r>
  <r>
    <n v="3255"/>
    <s v="Lara Rocha"/>
    <x v="2"/>
    <d v="2024-03-21T00:00:00"/>
    <x v="1"/>
    <n v="10"/>
    <x v="0"/>
    <s v="No"/>
    <s v="-"/>
    <s v="Yes"/>
    <n v="20"/>
    <x v="2"/>
    <n v="10"/>
    <n v="20"/>
  </r>
  <r>
    <n v="3256"/>
    <s v="Matheus Silva"/>
    <x v="1"/>
    <d v="2024-03-22T00:00:00"/>
    <x v="0"/>
    <n v="5"/>
    <x v="2"/>
    <s v="No"/>
    <s v="-"/>
    <s v="No"/>
    <n v="0"/>
    <x v="1"/>
    <n v="0"/>
    <n v="5"/>
  </r>
  <r>
    <n v="3257"/>
    <s v="Nicole Costa"/>
    <x v="0"/>
    <d v="2024-03-23T00:00:00"/>
    <x v="1"/>
    <n v="15"/>
    <x v="0"/>
    <s v="Yes"/>
    <n v="30"/>
    <s v="Yes"/>
    <n v="20"/>
    <x v="0"/>
    <n v="5"/>
    <n v="60"/>
  </r>
  <r>
    <n v="3258"/>
    <s v="Otávio Mendonça"/>
    <x v="2"/>
    <d v="2024-03-24T00:00:00"/>
    <x v="0"/>
    <n v="10"/>
    <x v="1"/>
    <s v="No"/>
    <s v="-"/>
    <s v="Yes"/>
    <n v="20"/>
    <x v="2"/>
    <n v="15"/>
    <n v="15"/>
  </r>
  <r>
    <n v="3259"/>
    <s v="Paula Ferreira"/>
    <x v="1"/>
    <d v="2024-03-25T00:00:00"/>
    <x v="1"/>
    <n v="5"/>
    <x v="0"/>
    <s v="No"/>
    <s v="-"/>
    <s v="No"/>
    <n v="0"/>
    <x v="1"/>
    <n v="1"/>
    <n v="4"/>
  </r>
  <r>
    <n v="3260"/>
    <s v="Raquel Alves"/>
    <x v="0"/>
    <d v="2024-03-26T00:00:00"/>
    <x v="0"/>
    <n v="15"/>
    <x v="2"/>
    <s v="Yes"/>
    <n v="30"/>
    <s v="Yes"/>
    <n v="20"/>
    <x v="0"/>
    <n v="7"/>
    <n v="58"/>
  </r>
  <r>
    <n v="3261"/>
    <s v="Samuel Pires"/>
    <x v="2"/>
    <d v="2024-03-27T00:00:00"/>
    <x v="1"/>
    <n v="10"/>
    <x v="0"/>
    <s v="No"/>
    <s v="-"/>
    <s v="Yes"/>
    <n v="20"/>
    <x v="2"/>
    <n v="10"/>
    <n v="20"/>
  </r>
  <r>
    <n v="3262"/>
    <s v="Tânia Barros"/>
    <x v="1"/>
    <d v="2024-03-28T00:00:00"/>
    <x v="0"/>
    <n v="5"/>
    <x v="1"/>
    <s v="No"/>
    <s v="-"/>
    <s v="No"/>
    <n v="0"/>
    <x v="1"/>
    <n v="0"/>
    <n v="5"/>
  </r>
  <r>
    <n v="3263"/>
    <s v="Vinicius Lima"/>
    <x v="0"/>
    <d v="2024-03-29T00:00:00"/>
    <x v="1"/>
    <n v="15"/>
    <x v="0"/>
    <s v="Yes"/>
    <n v="30"/>
    <s v="Yes"/>
    <n v="20"/>
    <x v="0"/>
    <n v="3"/>
    <n v="62"/>
  </r>
  <r>
    <n v="3264"/>
    <s v="Yasmin Teixeira"/>
    <x v="2"/>
    <d v="2024-03-30T00:00:00"/>
    <x v="0"/>
    <n v="10"/>
    <x v="2"/>
    <s v="No"/>
    <s v="-"/>
    <s v="Yes"/>
    <n v="20"/>
    <x v="2"/>
    <n v="15"/>
    <n v="15"/>
  </r>
  <r>
    <n v="3265"/>
    <s v="Zé Carlos"/>
    <x v="1"/>
    <d v="2024-03-31T00:00:00"/>
    <x v="1"/>
    <n v="5"/>
    <x v="0"/>
    <s v="No"/>
    <s v="-"/>
    <s v="No"/>
    <n v="0"/>
    <x v="1"/>
    <n v="1"/>
    <n v="4"/>
  </r>
  <r>
    <n v="3266"/>
    <s v="Amanda Nogueira"/>
    <x v="1"/>
    <d v="2024-04-01T00:00:00"/>
    <x v="0"/>
    <n v="5"/>
    <x v="0"/>
    <s v="No"/>
    <s v="-"/>
    <s v="No"/>
    <n v="0"/>
    <x v="1"/>
    <n v="0"/>
    <n v="5"/>
  </r>
  <r>
    <n v="3267"/>
    <s v="Bruno Cavalheiro"/>
    <x v="0"/>
    <d v="2024-04-02T00:00:00"/>
    <x v="1"/>
    <n v="15"/>
    <x v="2"/>
    <s v="Yes"/>
    <n v="30"/>
    <s v="Yes"/>
    <n v="20"/>
    <x v="0"/>
    <n v="7"/>
    <n v="58"/>
  </r>
  <r>
    <n v="3268"/>
    <s v="Carla Dias"/>
    <x v="2"/>
    <d v="2024-04-03T00:00:00"/>
    <x v="0"/>
    <n v="10"/>
    <x v="1"/>
    <s v="No"/>
    <s v="-"/>
    <s v="Yes"/>
    <n v="20"/>
    <x v="2"/>
    <n v="10"/>
    <n v="20"/>
  </r>
  <r>
    <n v="3269"/>
    <s v="Diego Fontes"/>
    <x v="1"/>
    <d v="2024-04-04T00:00:00"/>
    <x v="1"/>
    <n v="5"/>
    <x v="2"/>
    <s v="No"/>
    <s v="-"/>
    <s v="No"/>
    <n v="0"/>
    <x v="1"/>
    <n v="1"/>
    <n v="4"/>
  </r>
  <r>
    <n v="3270"/>
    <s v="Eunice Lima"/>
    <x v="0"/>
    <d v="2024-04-05T00:00:00"/>
    <x v="0"/>
    <n v="15"/>
    <x v="0"/>
    <s v="Yes"/>
    <n v="30"/>
    <s v="Yes"/>
    <n v="20"/>
    <x v="0"/>
    <n v="15"/>
    <n v="50"/>
  </r>
  <r>
    <n v="3271"/>
    <s v="Fábio Martins"/>
    <x v="2"/>
    <d v="2024-04-06T00:00:00"/>
    <x v="1"/>
    <n v="10"/>
    <x v="0"/>
    <s v="No"/>
    <s v="-"/>
    <s v="Yes"/>
    <n v="20"/>
    <x v="2"/>
    <n v="5"/>
    <n v="25"/>
  </r>
  <r>
    <n v="3272"/>
    <s v="Gisele Araújo"/>
    <x v="1"/>
    <d v="2024-04-07T00:00:00"/>
    <x v="0"/>
    <n v="5"/>
    <x v="1"/>
    <s v="No"/>
    <s v="-"/>
    <s v="No"/>
    <n v="0"/>
    <x v="1"/>
    <n v="0"/>
    <n v="5"/>
  </r>
  <r>
    <n v="3273"/>
    <s v="Hélio Castro"/>
    <x v="0"/>
    <d v="2024-04-08T00:00:00"/>
    <x v="1"/>
    <n v="15"/>
    <x v="2"/>
    <s v="Yes"/>
    <n v="30"/>
    <s v="Yes"/>
    <n v="20"/>
    <x v="0"/>
    <n v="20"/>
    <n v="45"/>
  </r>
  <r>
    <n v="3274"/>
    <s v="Ingrid Menezes"/>
    <x v="2"/>
    <d v="2024-04-09T00:00:00"/>
    <x v="0"/>
    <n v="10"/>
    <x v="2"/>
    <s v="No"/>
    <s v="-"/>
    <s v="Yes"/>
    <n v="20"/>
    <x v="2"/>
    <n v="12"/>
    <n v="18"/>
  </r>
  <r>
    <n v="3275"/>
    <s v="Jorge Baptista"/>
    <x v="1"/>
    <d v="2024-04-10T00:00:00"/>
    <x v="1"/>
    <n v="5"/>
    <x v="0"/>
    <s v="No"/>
    <s v="-"/>
    <s v="No"/>
    <n v="0"/>
    <x v="1"/>
    <n v="2"/>
    <n v="3"/>
  </r>
  <r>
    <n v="3276"/>
    <s v="Kléber Oliveira"/>
    <x v="0"/>
    <d v="2024-04-11T00:00:00"/>
    <x v="0"/>
    <n v="15"/>
    <x v="1"/>
    <s v="Yes"/>
    <n v="30"/>
    <s v="Yes"/>
    <n v="20"/>
    <x v="0"/>
    <n v="5"/>
    <n v="60"/>
  </r>
  <r>
    <n v="3277"/>
    <s v="Luciana Freitas"/>
    <x v="2"/>
    <d v="2024-04-12T00:00:00"/>
    <x v="1"/>
    <n v="10"/>
    <x v="0"/>
    <s v="No"/>
    <s v="-"/>
    <s v="Yes"/>
    <n v="20"/>
    <x v="2"/>
    <n v="10"/>
    <n v="20"/>
  </r>
  <r>
    <n v="3278"/>
    <s v="Márcia Eller"/>
    <x v="1"/>
    <d v="2024-04-13T00:00:00"/>
    <x v="0"/>
    <n v="5"/>
    <x v="2"/>
    <s v="No"/>
    <s v="-"/>
    <s v="No"/>
    <n v="0"/>
    <x v="1"/>
    <n v="0"/>
    <n v="5"/>
  </r>
  <r>
    <n v="3279"/>
    <s v="Nilo Peçanha"/>
    <x v="0"/>
    <d v="2024-04-14T00:00:00"/>
    <x v="1"/>
    <n v="15"/>
    <x v="0"/>
    <s v="Yes"/>
    <n v="30"/>
    <s v="Yes"/>
    <n v="20"/>
    <x v="0"/>
    <n v="3"/>
    <n v="62"/>
  </r>
  <r>
    <n v="3280"/>
    <s v="Oscar Neves"/>
    <x v="2"/>
    <d v="2024-04-15T00:00:00"/>
    <x v="0"/>
    <n v="10"/>
    <x v="1"/>
    <s v="No"/>
    <s v="-"/>
    <s v="Yes"/>
    <n v="20"/>
    <x v="2"/>
    <n v="15"/>
    <n v="15"/>
  </r>
  <r>
    <n v="3281"/>
    <s v="Patrícia Soares"/>
    <x v="1"/>
    <d v="2024-04-16T00:00:00"/>
    <x v="1"/>
    <n v="5"/>
    <x v="0"/>
    <s v="No"/>
    <s v="-"/>
    <s v="No"/>
    <n v="0"/>
    <x v="1"/>
    <n v="1"/>
    <n v="4"/>
  </r>
  <r>
    <n v="3282"/>
    <s v="Quirino Gonçalves"/>
    <x v="0"/>
    <d v="2024-04-17T00:00:00"/>
    <x v="0"/>
    <n v="15"/>
    <x v="2"/>
    <s v="Yes"/>
    <n v="30"/>
    <s v="Yes"/>
    <n v="20"/>
    <x v="0"/>
    <n v="7"/>
    <n v="58"/>
  </r>
  <r>
    <n v="3283"/>
    <s v="Raul Machado"/>
    <x v="2"/>
    <d v="2024-04-18T00:00:00"/>
    <x v="1"/>
    <n v="10"/>
    <x v="0"/>
    <s v="No"/>
    <s v="-"/>
    <s v="Yes"/>
    <n v="20"/>
    <x v="2"/>
    <n v="10"/>
    <n v="20"/>
  </r>
  <r>
    <n v="3284"/>
    <s v="Sônia Lobo"/>
    <x v="1"/>
    <d v="2024-04-19T00:00:00"/>
    <x v="0"/>
    <n v="5"/>
    <x v="1"/>
    <s v="No"/>
    <s v="-"/>
    <s v="No"/>
    <n v="0"/>
    <x v="1"/>
    <n v="0"/>
    <n v="5"/>
  </r>
  <r>
    <n v="3285"/>
    <s v="Tiago Ramos"/>
    <x v="0"/>
    <d v="2024-04-20T00:00:00"/>
    <x v="1"/>
    <n v="15"/>
    <x v="0"/>
    <s v="Yes"/>
    <n v="30"/>
    <s v="Yes"/>
    <n v="20"/>
    <x v="0"/>
    <n v="20"/>
    <n v="45"/>
  </r>
  <r>
    <n v="3286"/>
    <s v="Ugo Pires"/>
    <x v="2"/>
    <d v="2024-04-21T00:00:00"/>
    <x v="0"/>
    <n v="10"/>
    <x v="2"/>
    <s v="No"/>
    <s v="-"/>
    <s v="Yes"/>
    <n v="20"/>
    <x v="2"/>
    <n v="15"/>
    <n v="15"/>
  </r>
  <r>
    <n v="3287"/>
    <s v="Valéria Nobre"/>
    <x v="1"/>
    <d v="2024-04-22T00:00:00"/>
    <x v="1"/>
    <n v="5"/>
    <x v="0"/>
    <s v="No"/>
    <s v="-"/>
    <s v="No"/>
    <n v="0"/>
    <x v="1"/>
    <n v="1"/>
    <n v="4"/>
  </r>
  <r>
    <n v="3288"/>
    <s v="William Siqueira"/>
    <x v="0"/>
    <d v="2024-04-23T00:00:00"/>
    <x v="0"/>
    <n v="15"/>
    <x v="1"/>
    <s v="Yes"/>
    <n v="30"/>
    <s v="Yes"/>
    <n v="20"/>
    <x v="0"/>
    <n v="3"/>
    <n v="62"/>
  </r>
  <r>
    <n v="3289"/>
    <s v="Xuxa Meneghel"/>
    <x v="2"/>
    <d v="2024-04-24T00:00:00"/>
    <x v="1"/>
    <n v="10"/>
    <x v="0"/>
    <s v="No"/>
    <s v="-"/>
    <s v="Yes"/>
    <n v="20"/>
    <x v="2"/>
    <n v="10"/>
    <n v="20"/>
  </r>
  <r>
    <n v="3290"/>
    <s v="Yara Figueiredo"/>
    <x v="1"/>
    <d v="2024-04-25T00:00:00"/>
    <x v="0"/>
    <n v="5"/>
    <x v="2"/>
    <s v="No"/>
    <s v="-"/>
    <s v="No"/>
    <n v="0"/>
    <x v="1"/>
    <n v="0"/>
    <n v="5"/>
  </r>
  <r>
    <n v="3291"/>
    <s v="Zacarias Alves"/>
    <x v="0"/>
    <d v="2024-04-26T00:00:00"/>
    <x v="1"/>
    <n v="15"/>
    <x v="0"/>
    <s v="Yes"/>
    <n v="30"/>
    <s v="Yes"/>
    <n v="20"/>
    <x v="0"/>
    <n v="5"/>
    <n v="60"/>
  </r>
  <r>
    <n v="3292"/>
    <s v="Amanda Bynes"/>
    <x v="2"/>
    <d v="2024-04-27T00:00:00"/>
    <x v="0"/>
    <n v="10"/>
    <x v="1"/>
    <s v="No"/>
    <s v="-"/>
    <s v="Yes"/>
    <n v="20"/>
    <x v="2"/>
    <n v="15"/>
    <n v="15"/>
  </r>
  <r>
    <n v="3293"/>
    <s v="Bruno Mars"/>
    <x v="1"/>
    <d v="2024-04-28T00:00:00"/>
    <x v="1"/>
    <n v="5"/>
    <x v="0"/>
    <s v="No"/>
    <s v="-"/>
    <s v="No"/>
    <n v="0"/>
    <x v="1"/>
    <n v="1"/>
    <n v="4"/>
  </r>
  <r>
    <n v="3294"/>
    <s v="Carla Bruni"/>
    <x v="0"/>
    <d v="2024-04-29T00:00:00"/>
    <x v="0"/>
    <n v="15"/>
    <x v="2"/>
    <s v="Yes"/>
    <n v="30"/>
    <s v="Yes"/>
    <n v="20"/>
    <x v="0"/>
    <n v="20"/>
    <n v="45"/>
  </r>
  <r>
    <n v="3295"/>
    <s v="Diego Maradona"/>
    <x v="2"/>
    <d v="2024-04-30T00:00:00"/>
    <x v="1"/>
    <n v="10"/>
    <x v="0"/>
    <s v="No"/>
    <s v="-"/>
    <s v="Yes"/>
    <n v="20"/>
    <x v="2"/>
    <n v="5"/>
    <n v="25"/>
  </r>
  <r>
    <n v="3296"/>
    <s v="Estela Marques"/>
    <x v="1"/>
    <d v="2024-05-01T00:00:00"/>
    <x v="1"/>
    <n v="5"/>
    <x v="0"/>
    <s v="No"/>
    <s v="-"/>
    <s v="No"/>
    <n v="0"/>
    <x v="1"/>
    <n v="0"/>
    <n v="5"/>
  </r>
  <r>
    <n v="3297"/>
    <s v="Fábio Nobre"/>
    <x v="0"/>
    <d v="2024-05-02T00:00:00"/>
    <x v="0"/>
    <n v="15"/>
    <x v="2"/>
    <s v="Yes"/>
    <n v="30"/>
    <s v="Yes"/>
    <n v="20"/>
    <x v="0"/>
    <n v="7"/>
    <n v="58"/>
  </r>
  <r>
    <n v="3298"/>
    <s v="Gabriel Oliveira"/>
    <x v="2"/>
    <d v="2024-05-03T00:00:00"/>
    <x v="1"/>
    <n v="10"/>
    <x v="1"/>
    <s v="No"/>
    <s v="-"/>
    <s v="Yes"/>
    <n v="20"/>
    <x v="2"/>
    <n v="10"/>
    <n v="20"/>
  </r>
  <r>
    <n v="3299"/>
    <s v="Helena Santos"/>
    <x v="1"/>
    <d v="2024-05-04T00:00:00"/>
    <x v="0"/>
    <n v="5"/>
    <x v="2"/>
    <s v="No"/>
    <s v="-"/>
    <s v="No"/>
    <n v="0"/>
    <x v="1"/>
    <n v="1"/>
    <n v="4"/>
  </r>
  <r>
    <n v="3300"/>
    <s v="Ivan Carvalho"/>
    <x v="0"/>
    <d v="2024-05-05T00:00:00"/>
    <x v="1"/>
    <n v="15"/>
    <x v="0"/>
    <s v="Yes"/>
    <n v="30"/>
    <s v="Yes"/>
    <n v="20"/>
    <x v="0"/>
    <n v="15"/>
    <n v="50"/>
  </r>
  <r>
    <n v="3301"/>
    <s v="Júlia Ferreira"/>
    <x v="2"/>
    <d v="2024-05-06T00:00:00"/>
    <x v="0"/>
    <n v="10"/>
    <x v="0"/>
    <s v="No"/>
    <s v="-"/>
    <s v="Yes"/>
    <n v="20"/>
    <x v="2"/>
    <n v="5"/>
    <n v="25"/>
  </r>
  <r>
    <n v="3302"/>
    <s v="Karla Alves"/>
    <x v="1"/>
    <d v="2024-05-07T00:00:00"/>
    <x v="1"/>
    <n v="5"/>
    <x v="1"/>
    <s v="No"/>
    <s v="-"/>
    <s v="No"/>
    <n v="0"/>
    <x v="1"/>
    <n v="0"/>
    <n v="5"/>
  </r>
  <r>
    <n v="3303"/>
    <s v="Lucas Mendes"/>
    <x v="0"/>
    <d v="2024-05-08T00:00:00"/>
    <x v="0"/>
    <n v="15"/>
    <x v="2"/>
    <s v="Yes"/>
    <n v="30"/>
    <s v="Yes"/>
    <n v="20"/>
    <x v="0"/>
    <n v="20"/>
    <n v="45"/>
  </r>
  <r>
    <n v="3304"/>
    <s v="Mônica Gomes"/>
    <x v="2"/>
    <d v="2024-05-09T00:00:00"/>
    <x v="1"/>
    <n v="10"/>
    <x v="2"/>
    <s v="No"/>
    <s v="-"/>
    <s v="Yes"/>
    <n v="20"/>
    <x v="2"/>
    <n v="12"/>
    <n v="18"/>
  </r>
  <r>
    <n v="3305"/>
    <s v="Norberto Queiroz"/>
    <x v="1"/>
    <d v="2024-05-10T00:00:00"/>
    <x v="0"/>
    <n v="5"/>
    <x v="0"/>
    <s v="No"/>
    <s v="-"/>
    <s v="No"/>
    <n v="0"/>
    <x v="1"/>
    <n v="2"/>
    <n v="3"/>
  </r>
  <r>
    <n v="3306"/>
    <s v="Otávio Barros"/>
    <x v="0"/>
    <d v="2024-05-11T00:00:00"/>
    <x v="1"/>
    <n v="15"/>
    <x v="1"/>
    <s v="Yes"/>
    <n v="30"/>
    <s v="Yes"/>
    <n v="20"/>
    <x v="0"/>
    <n v="5"/>
    <n v="60"/>
  </r>
  <r>
    <n v="3307"/>
    <s v="Paula Vieira"/>
    <x v="2"/>
    <d v="2024-05-12T00:00:00"/>
    <x v="0"/>
    <n v="10"/>
    <x v="0"/>
    <s v="No"/>
    <s v="-"/>
    <s v="Yes"/>
    <n v="20"/>
    <x v="2"/>
    <n v="10"/>
    <n v="20"/>
  </r>
  <r>
    <n v="3308"/>
    <s v="Quentin Ramos"/>
    <x v="1"/>
    <d v="2024-05-13T00:00:00"/>
    <x v="1"/>
    <n v="5"/>
    <x v="2"/>
    <s v="No"/>
    <s v="-"/>
    <s v="No"/>
    <n v="0"/>
    <x v="1"/>
    <n v="0"/>
    <n v="5"/>
  </r>
  <r>
    <n v="3309"/>
    <s v="Raquel Novaes"/>
    <x v="0"/>
    <d v="2024-05-14T00:00:00"/>
    <x v="0"/>
    <n v="15"/>
    <x v="0"/>
    <s v="Yes"/>
    <n v="30"/>
    <s v="Yes"/>
    <n v="20"/>
    <x v="0"/>
    <n v="3"/>
    <n v="62"/>
  </r>
  <r>
    <n v="3310"/>
    <s v="Samantha Lopes"/>
    <x v="2"/>
    <d v="2024-05-15T00:00:00"/>
    <x v="1"/>
    <n v="10"/>
    <x v="1"/>
    <s v="No"/>
    <s v="-"/>
    <s v="Yes"/>
    <n v="20"/>
    <x v="2"/>
    <n v="15"/>
    <n v="15"/>
  </r>
  <r>
    <n v="3311"/>
    <s v="Tiago Martins"/>
    <x v="1"/>
    <d v="2024-05-16T00:00:00"/>
    <x v="0"/>
    <n v="5"/>
    <x v="0"/>
    <s v="No"/>
    <s v="-"/>
    <s v="No"/>
    <n v="0"/>
    <x v="1"/>
    <n v="1"/>
    <n v="4"/>
  </r>
  <r>
    <n v="3312"/>
    <s v="Ulysses Guimarães"/>
    <x v="0"/>
    <d v="2024-05-17T00:00:00"/>
    <x v="1"/>
    <n v="15"/>
    <x v="2"/>
    <s v="Yes"/>
    <n v="30"/>
    <s v="Yes"/>
    <n v="20"/>
    <x v="0"/>
    <n v="7"/>
    <n v="58"/>
  </r>
  <r>
    <n v="3313"/>
    <s v="Vanessa Silva"/>
    <x v="2"/>
    <d v="2024-05-18T00:00:00"/>
    <x v="0"/>
    <n v="10"/>
    <x v="0"/>
    <s v="No"/>
    <s v="-"/>
    <s v="Yes"/>
    <n v="20"/>
    <x v="2"/>
    <n v="10"/>
    <n v="20"/>
  </r>
  <r>
    <n v="3314"/>
    <s v="William Carneiro"/>
    <x v="1"/>
    <d v="2024-05-19T00:00:00"/>
    <x v="1"/>
    <n v="5"/>
    <x v="1"/>
    <s v="No"/>
    <s v="-"/>
    <s v="No"/>
    <n v="0"/>
    <x v="1"/>
    <n v="0"/>
    <n v="5"/>
  </r>
  <r>
    <n v="3315"/>
    <s v="Ximena Rocha"/>
    <x v="0"/>
    <d v="2024-05-20T00:00:00"/>
    <x v="0"/>
    <n v="15"/>
    <x v="0"/>
    <s v="Yes"/>
    <n v="30"/>
    <s v="Yes"/>
    <n v="20"/>
    <x v="0"/>
    <n v="20"/>
    <n v="45"/>
  </r>
  <r>
    <n v="3316"/>
    <s v="Yasmin Figueiredo"/>
    <x v="2"/>
    <d v="2024-05-21T00:00:00"/>
    <x v="1"/>
    <n v="10"/>
    <x v="2"/>
    <s v="No"/>
    <s v="-"/>
    <s v="Yes"/>
    <n v="20"/>
    <x v="2"/>
    <n v="15"/>
    <n v="15"/>
  </r>
  <r>
    <n v="3317"/>
    <s v="Zara Cunha"/>
    <x v="1"/>
    <d v="2024-05-22T00:00:00"/>
    <x v="0"/>
    <n v="5"/>
    <x v="0"/>
    <s v="No"/>
    <s v="-"/>
    <s v="No"/>
    <n v="0"/>
    <x v="1"/>
    <n v="1"/>
    <n v="4"/>
  </r>
  <r>
    <n v="3318"/>
    <s v="Alan Teixeira"/>
    <x v="0"/>
    <d v="2024-05-23T00:00:00"/>
    <x v="1"/>
    <n v="15"/>
    <x v="1"/>
    <s v="Yes"/>
    <n v="30"/>
    <s v="Yes"/>
    <n v="20"/>
    <x v="0"/>
    <n v="3"/>
    <n v="62"/>
  </r>
  <r>
    <n v="3319"/>
    <s v="Bárbara Oliveira"/>
    <x v="2"/>
    <d v="2024-05-24T00:00:00"/>
    <x v="0"/>
    <n v="10"/>
    <x v="0"/>
    <s v="No"/>
    <s v="-"/>
    <s v="Yes"/>
    <n v="20"/>
    <x v="2"/>
    <n v="10"/>
    <n v="20"/>
  </r>
  <r>
    <n v="3320"/>
    <s v="Carlos Junqueira"/>
    <x v="1"/>
    <d v="2024-05-25T00:00:00"/>
    <x v="1"/>
    <n v="5"/>
    <x v="2"/>
    <s v="No"/>
    <s v="-"/>
    <s v="No"/>
    <n v="0"/>
    <x v="1"/>
    <n v="0"/>
    <n v="5"/>
  </r>
  <r>
    <n v="3321"/>
    <s v="Daniela Moura"/>
    <x v="0"/>
    <d v="2024-05-26T00:00:00"/>
    <x v="0"/>
    <n v="15"/>
    <x v="0"/>
    <s v="Yes"/>
    <n v="30"/>
    <s v="Yes"/>
    <n v="20"/>
    <x v="0"/>
    <n v="5"/>
    <n v="60"/>
  </r>
  <r>
    <n v="3322"/>
    <s v="Eduardo Lima"/>
    <x v="2"/>
    <d v="2024-05-27T00:00:00"/>
    <x v="1"/>
    <n v="10"/>
    <x v="1"/>
    <s v="No"/>
    <s v="-"/>
    <s v="Yes"/>
    <n v="20"/>
    <x v="2"/>
    <n v="15"/>
    <n v="15"/>
  </r>
  <r>
    <n v="3323"/>
    <s v="Fabiana Araújo"/>
    <x v="1"/>
    <d v="2024-05-28T00:00:00"/>
    <x v="0"/>
    <n v="5"/>
    <x v="0"/>
    <s v="No"/>
    <s v="-"/>
    <s v="No"/>
    <n v="0"/>
    <x v="1"/>
    <n v="1"/>
    <n v="4"/>
  </r>
  <r>
    <n v="3324"/>
    <s v="Geraldo Ribeiro"/>
    <x v="0"/>
    <d v="2024-05-29T00:00:00"/>
    <x v="1"/>
    <n v="15"/>
    <x v="2"/>
    <s v="Yes"/>
    <n v="30"/>
    <s v="Yes"/>
    <n v="20"/>
    <x v="0"/>
    <n v="20"/>
    <n v="45"/>
  </r>
  <r>
    <n v="3325"/>
    <s v="Héctor Vargas"/>
    <x v="2"/>
    <d v="2024-05-30T00:00:00"/>
    <x v="0"/>
    <n v="10"/>
    <x v="2"/>
    <s v="No"/>
    <s v="-"/>
    <s v="Yes"/>
    <n v="20"/>
    <x v="2"/>
    <n v="15"/>
    <n v="15"/>
  </r>
  <r>
    <n v="3326"/>
    <s v="Isabela Fonseca"/>
    <x v="1"/>
    <d v="2024-05-31T00:00:00"/>
    <x v="1"/>
    <n v="5"/>
    <x v="1"/>
    <s v="No"/>
    <s v="-"/>
    <s v="No"/>
    <n v="0"/>
    <x v="1"/>
    <n v="0"/>
    <n v="5"/>
  </r>
  <r>
    <n v="3327"/>
    <s v="João Pedro Almeida"/>
    <x v="0"/>
    <d v="2024-06-01T00:00:00"/>
    <x v="0"/>
    <n v="15"/>
    <x v="0"/>
    <s v="Yes"/>
    <n v="30"/>
    <s v="Yes"/>
    <n v="20"/>
    <x v="0"/>
    <n v="7"/>
    <n v="58"/>
  </r>
  <r>
    <n v="3328"/>
    <s v="Klara Costa"/>
    <x v="2"/>
    <d v="2024-06-02T00:00:00"/>
    <x v="1"/>
    <n v="10"/>
    <x v="1"/>
    <s v="No"/>
    <s v="-"/>
    <s v="Yes"/>
    <n v="20"/>
    <x v="2"/>
    <n v="10"/>
    <n v="20"/>
  </r>
  <r>
    <n v="3329"/>
    <s v="Luciana Mendes"/>
    <x v="1"/>
    <d v="2024-06-03T00:00:00"/>
    <x v="0"/>
    <n v="5"/>
    <x v="2"/>
    <s v="No"/>
    <s v="-"/>
    <s v="No"/>
    <n v="0"/>
    <x v="1"/>
    <n v="1"/>
    <n v="4"/>
  </r>
  <r>
    <n v="3330"/>
    <s v="Marcelo Gouveia"/>
    <x v="0"/>
    <d v="2024-06-04T00:00:00"/>
    <x v="1"/>
    <n v="15"/>
    <x v="0"/>
    <s v="Yes"/>
    <n v="30"/>
    <s v="Yes"/>
    <n v="20"/>
    <x v="0"/>
    <n v="15"/>
    <n v="50"/>
  </r>
  <r>
    <n v="3331"/>
    <s v="Nívea Borges"/>
    <x v="2"/>
    <d v="2024-06-05T00:00:00"/>
    <x v="0"/>
    <n v="10"/>
    <x v="0"/>
    <s v="No"/>
    <s v="-"/>
    <s v="Yes"/>
    <n v="20"/>
    <x v="2"/>
    <n v="5"/>
    <n v="25"/>
  </r>
  <r>
    <n v="3332"/>
    <s v="Oscar Nogueira"/>
    <x v="1"/>
    <d v="2024-06-06T00:00:00"/>
    <x v="1"/>
    <n v="5"/>
    <x v="1"/>
    <s v="No"/>
    <s v="-"/>
    <s v="No"/>
    <n v="0"/>
    <x v="1"/>
    <n v="0"/>
    <n v="5"/>
  </r>
  <r>
    <n v="3333"/>
    <s v="Patrícia Alves"/>
    <x v="0"/>
    <d v="2024-06-07T00:00:00"/>
    <x v="0"/>
    <n v="15"/>
    <x v="2"/>
    <s v="Yes"/>
    <n v="30"/>
    <s v="Yes"/>
    <n v="20"/>
    <x v="0"/>
    <n v="20"/>
    <n v="45"/>
  </r>
  <r>
    <n v="3334"/>
    <s v="Rafaela Silva"/>
    <x v="2"/>
    <d v="2024-06-08T00:00:00"/>
    <x v="1"/>
    <n v="10"/>
    <x v="2"/>
    <s v="No"/>
    <s v="-"/>
    <s v="Yes"/>
    <n v="20"/>
    <x v="2"/>
    <n v="12"/>
    <n v="18"/>
  </r>
  <r>
    <n v="3335"/>
    <s v="Samantha Moraes"/>
    <x v="1"/>
    <d v="2024-06-09T00:00:00"/>
    <x v="0"/>
    <n v="5"/>
    <x v="0"/>
    <s v="No"/>
    <s v="-"/>
    <s v="No"/>
    <n v="0"/>
    <x v="1"/>
    <n v="2"/>
    <n v="3"/>
  </r>
  <r>
    <n v="3336"/>
    <s v="Tatiana Rocha"/>
    <x v="1"/>
    <d v="2024-06-10T00:00:00"/>
    <x v="0"/>
    <n v="5"/>
    <x v="0"/>
    <s v="No"/>
    <s v="-"/>
    <s v="No"/>
    <n v="0"/>
    <x v="1"/>
    <n v="0"/>
    <n v="5"/>
  </r>
  <r>
    <n v="3337"/>
    <s v="Ulisses Tavares"/>
    <x v="0"/>
    <d v="2024-06-11T00:00:00"/>
    <x v="1"/>
    <n v="15"/>
    <x v="2"/>
    <s v="Yes"/>
    <n v="30"/>
    <s v="Yes"/>
    <n v="20"/>
    <x v="0"/>
    <n v="7"/>
    <n v="58"/>
  </r>
  <r>
    <n v="3338"/>
    <s v="Víctor Lemos"/>
    <x v="2"/>
    <d v="2024-06-12T00:00:00"/>
    <x v="0"/>
    <n v="10"/>
    <x v="1"/>
    <s v="No"/>
    <s v="-"/>
    <s v="Yes"/>
    <n v="20"/>
    <x v="2"/>
    <n v="10"/>
    <n v="20"/>
  </r>
  <r>
    <n v="3339"/>
    <s v="Wilma Barros"/>
    <x v="1"/>
    <d v="2024-06-13T00:00:00"/>
    <x v="1"/>
    <n v="5"/>
    <x v="2"/>
    <s v="No"/>
    <s v="-"/>
    <s v="No"/>
    <n v="0"/>
    <x v="1"/>
    <n v="1"/>
    <n v="4"/>
  </r>
  <r>
    <n v="3340"/>
    <s v="Xavier Nascimento"/>
    <x v="0"/>
    <d v="2024-06-14T00:00:00"/>
    <x v="0"/>
    <n v="15"/>
    <x v="0"/>
    <s v="Yes"/>
    <n v="30"/>
    <s v="Yes"/>
    <n v="20"/>
    <x v="0"/>
    <n v="15"/>
    <n v="50"/>
  </r>
  <r>
    <n v="3341"/>
    <s v="Yago Pereira"/>
    <x v="2"/>
    <d v="2024-06-15T00:00:00"/>
    <x v="1"/>
    <n v="10"/>
    <x v="0"/>
    <s v="No"/>
    <s v="-"/>
    <s v="Yes"/>
    <n v="20"/>
    <x v="2"/>
    <n v="5"/>
    <n v="25"/>
  </r>
  <r>
    <n v="3342"/>
    <s v="Zilda Ferreira"/>
    <x v="1"/>
    <d v="2024-06-16T00:00:00"/>
    <x v="0"/>
    <n v="5"/>
    <x v="1"/>
    <s v="No"/>
    <s v="-"/>
    <s v="No"/>
    <n v="0"/>
    <x v="1"/>
    <n v="0"/>
    <n v="5"/>
  </r>
  <r>
    <n v="3343"/>
    <s v="Amanda Lopes"/>
    <x v="0"/>
    <d v="2024-06-17T00:00:00"/>
    <x v="1"/>
    <n v="15"/>
    <x v="2"/>
    <s v="Yes"/>
    <n v="30"/>
    <s v="Yes"/>
    <n v="20"/>
    <x v="0"/>
    <n v="20"/>
    <n v="45"/>
  </r>
  <r>
    <n v="3344"/>
    <s v="Bruno Miranda"/>
    <x v="2"/>
    <d v="2024-06-18T00:00:00"/>
    <x v="0"/>
    <n v="10"/>
    <x v="2"/>
    <s v="No"/>
    <s v="-"/>
    <s v="Yes"/>
    <n v="20"/>
    <x v="2"/>
    <n v="12"/>
    <n v="18"/>
  </r>
  <r>
    <n v="3345"/>
    <s v="Célia Torres"/>
    <x v="1"/>
    <d v="2024-06-19T00:00:00"/>
    <x v="1"/>
    <n v="5"/>
    <x v="0"/>
    <s v="No"/>
    <s v="-"/>
    <s v="No"/>
    <n v="0"/>
    <x v="1"/>
    <n v="2"/>
    <n v="3"/>
  </r>
  <r>
    <n v="3346"/>
    <s v="Diogo Souza"/>
    <x v="0"/>
    <d v="2024-06-20T00:00:00"/>
    <x v="0"/>
    <n v="15"/>
    <x v="1"/>
    <s v="Yes"/>
    <n v="30"/>
    <s v="Yes"/>
    <n v="20"/>
    <x v="0"/>
    <n v="5"/>
    <n v="60"/>
  </r>
  <r>
    <n v="3347"/>
    <s v="Elisa Castro"/>
    <x v="2"/>
    <d v="2024-06-21T00:00:00"/>
    <x v="1"/>
    <n v="10"/>
    <x v="0"/>
    <s v="No"/>
    <s v="-"/>
    <s v="Yes"/>
    <n v="20"/>
    <x v="2"/>
    <n v="10"/>
    <n v="20"/>
  </r>
  <r>
    <n v="3348"/>
    <s v="Fátima Lima"/>
    <x v="1"/>
    <d v="2024-06-22T00:00:00"/>
    <x v="0"/>
    <n v="5"/>
    <x v="2"/>
    <s v="No"/>
    <s v="-"/>
    <s v="No"/>
    <n v="0"/>
    <x v="1"/>
    <n v="0"/>
    <n v="5"/>
  </r>
  <r>
    <n v="3349"/>
    <s v="Geraldo Ribeiro"/>
    <x v="0"/>
    <d v="2024-06-23T00:00:00"/>
    <x v="1"/>
    <n v="15"/>
    <x v="0"/>
    <s v="Yes"/>
    <n v="30"/>
    <s v="Yes"/>
    <n v="20"/>
    <x v="0"/>
    <n v="3"/>
    <n v="62"/>
  </r>
  <r>
    <n v="3350"/>
    <s v="Hélio Martins"/>
    <x v="2"/>
    <d v="2024-06-24T00:00:00"/>
    <x v="0"/>
    <n v="10"/>
    <x v="1"/>
    <s v="No"/>
    <s v="-"/>
    <s v="Yes"/>
    <n v="20"/>
    <x v="2"/>
    <n v="15"/>
    <n v="15"/>
  </r>
  <r>
    <n v="3351"/>
    <s v="Íris Santos"/>
    <x v="1"/>
    <d v="2024-06-25T00:00:00"/>
    <x v="1"/>
    <n v="5"/>
    <x v="0"/>
    <s v="No"/>
    <s v="-"/>
    <s v="No"/>
    <n v="0"/>
    <x v="1"/>
    <n v="1"/>
    <n v="4"/>
  </r>
  <r>
    <n v="3352"/>
    <s v="João Marcelo"/>
    <x v="0"/>
    <d v="2024-06-26T00:00:00"/>
    <x v="0"/>
    <n v="15"/>
    <x v="2"/>
    <s v="Yes"/>
    <n v="30"/>
    <s v="Yes"/>
    <n v="20"/>
    <x v="0"/>
    <n v="7"/>
    <n v="58"/>
  </r>
  <r>
    <n v="3353"/>
    <s v="Larissa Gomes"/>
    <x v="2"/>
    <d v="2024-06-27T00:00:00"/>
    <x v="1"/>
    <n v="10"/>
    <x v="0"/>
    <s v="No"/>
    <s v="-"/>
    <s v="Yes"/>
    <n v="20"/>
    <x v="2"/>
    <n v="10"/>
    <n v="20"/>
  </r>
  <r>
    <n v="3354"/>
    <s v="Márcio Silva"/>
    <x v="1"/>
    <d v="2024-06-28T00:00:00"/>
    <x v="0"/>
    <n v="5"/>
    <x v="1"/>
    <s v="No"/>
    <s v="-"/>
    <s v="No"/>
    <n v="0"/>
    <x v="1"/>
    <n v="0"/>
    <n v="5"/>
  </r>
  <r>
    <n v="3355"/>
    <s v="Nadia Costa"/>
    <x v="0"/>
    <d v="2024-06-29T00:00:00"/>
    <x v="1"/>
    <n v="15"/>
    <x v="0"/>
    <s v="Yes"/>
    <n v="30"/>
    <s v="Yes"/>
    <n v="20"/>
    <x v="0"/>
    <n v="20"/>
    <n v="45"/>
  </r>
  <r>
    <n v="3356"/>
    <s v="Oscar Almeida"/>
    <x v="2"/>
    <d v="2024-06-30T00:00:00"/>
    <x v="0"/>
    <n v="10"/>
    <x v="2"/>
    <s v="No"/>
    <s v="-"/>
    <s v="Yes"/>
    <n v="20"/>
    <x v="2"/>
    <n v="15"/>
    <n v="15"/>
  </r>
  <r>
    <n v="3357"/>
    <s v="Patricia Soares"/>
    <x v="1"/>
    <d v="2024-07-01T00:00:00"/>
    <x v="1"/>
    <n v="5"/>
    <x v="0"/>
    <s v="No"/>
    <s v="-"/>
    <s v="No"/>
    <n v="0"/>
    <x v="1"/>
    <n v="1"/>
    <n v="4"/>
  </r>
  <r>
    <n v="3358"/>
    <s v="Quênia Barros"/>
    <x v="0"/>
    <d v="2024-07-02T00:00:00"/>
    <x v="0"/>
    <n v="15"/>
    <x v="1"/>
    <s v="Yes"/>
    <n v="30"/>
    <s v="Yes"/>
    <n v="20"/>
    <x v="0"/>
    <n v="3"/>
    <n v="62"/>
  </r>
  <r>
    <n v="3359"/>
    <s v="Rafael Torres"/>
    <x v="2"/>
    <d v="2024-07-03T00:00:00"/>
    <x v="1"/>
    <n v="10"/>
    <x v="0"/>
    <s v="No"/>
    <s v="-"/>
    <s v="Yes"/>
    <n v="20"/>
    <x v="2"/>
    <n v="10"/>
    <n v="20"/>
  </r>
  <r>
    <n v="3360"/>
    <s v="Silvia Nascimento"/>
    <x v="1"/>
    <d v="2024-07-04T00:00:00"/>
    <x v="0"/>
    <n v="5"/>
    <x v="2"/>
    <s v="No"/>
    <s v="-"/>
    <s v="No"/>
    <n v="0"/>
    <x v="1"/>
    <n v="0"/>
    <n v="5"/>
  </r>
  <r>
    <n v="3361"/>
    <s v="Tiago Mendes"/>
    <x v="0"/>
    <d v="2024-07-05T00:00:00"/>
    <x v="1"/>
    <n v="15"/>
    <x v="0"/>
    <s v="Yes"/>
    <n v="30"/>
    <s v="Yes"/>
    <n v="20"/>
    <x v="0"/>
    <n v="15"/>
    <n v="50"/>
  </r>
  <r>
    <n v="3362"/>
    <s v="Ursula Silva"/>
    <x v="2"/>
    <d v="2024-07-06T00:00:00"/>
    <x v="0"/>
    <n v="10"/>
    <x v="1"/>
    <s v="No"/>
    <s v="-"/>
    <s v="Yes"/>
    <n v="20"/>
    <x v="2"/>
    <n v="15"/>
    <n v="15"/>
  </r>
  <r>
    <n v="3363"/>
    <s v="Vanessa Moraes"/>
    <x v="1"/>
    <d v="2024-07-07T00:00:00"/>
    <x v="1"/>
    <n v="5"/>
    <x v="0"/>
    <s v="No"/>
    <s v="-"/>
    <s v="No"/>
    <n v="0"/>
    <x v="1"/>
    <n v="1"/>
    <n v="4"/>
  </r>
  <r>
    <n v="3364"/>
    <s v="Waldir Junior"/>
    <x v="0"/>
    <d v="2024-07-08T00:00:00"/>
    <x v="0"/>
    <n v="15"/>
    <x v="2"/>
    <s v="Yes"/>
    <n v="30"/>
    <s v="Yes"/>
    <n v="20"/>
    <x v="0"/>
    <n v="7"/>
    <n v="58"/>
  </r>
  <r>
    <n v="3365"/>
    <s v="Xavier Lopes"/>
    <x v="2"/>
    <d v="2024-07-09T00:00:00"/>
    <x v="1"/>
    <n v="10"/>
    <x v="0"/>
    <s v="No"/>
    <s v="-"/>
    <s v="Yes"/>
    <n v="20"/>
    <x v="2"/>
    <n v="10"/>
    <n v="20"/>
  </r>
  <r>
    <n v="3366"/>
    <s v="Yolanda Freitas"/>
    <x v="1"/>
    <d v="2024-07-10T00:00:00"/>
    <x v="0"/>
    <n v="5"/>
    <x v="0"/>
    <s v="No"/>
    <s v="-"/>
    <s v="No"/>
    <n v="0"/>
    <x v="1"/>
    <n v="0"/>
    <n v="5"/>
  </r>
  <r>
    <n v="3367"/>
    <s v="Zacarias Nunes"/>
    <x v="0"/>
    <d v="2024-07-11T00:00:00"/>
    <x v="1"/>
    <n v="15"/>
    <x v="2"/>
    <s v="Yes"/>
    <n v="30"/>
    <s v="Yes"/>
    <n v="20"/>
    <x v="0"/>
    <n v="7"/>
    <n v="58"/>
  </r>
  <r>
    <n v="3368"/>
    <s v="Ana Clara Barreto"/>
    <x v="2"/>
    <d v="2024-07-12T00:00:00"/>
    <x v="0"/>
    <n v="10"/>
    <x v="1"/>
    <s v="No"/>
    <s v="-"/>
    <s v="Yes"/>
    <n v="20"/>
    <x v="2"/>
    <n v="10"/>
    <n v="20"/>
  </r>
  <r>
    <n v="3369"/>
    <s v="Bruno Henrique"/>
    <x v="1"/>
    <d v="2024-07-13T00:00:00"/>
    <x v="1"/>
    <n v="5"/>
    <x v="2"/>
    <s v="No"/>
    <s v="-"/>
    <s v="No"/>
    <n v="0"/>
    <x v="1"/>
    <n v="1"/>
    <n v="4"/>
  </r>
  <r>
    <n v="3370"/>
    <s v="Carlos Eduardo"/>
    <x v="0"/>
    <d v="2024-07-14T00:00:00"/>
    <x v="0"/>
    <n v="15"/>
    <x v="0"/>
    <s v="Yes"/>
    <n v="30"/>
    <s v="Yes"/>
    <n v="20"/>
    <x v="0"/>
    <n v="15"/>
    <n v="50"/>
  </r>
  <r>
    <n v="3371"/>
    <s v="Débora Lima"/>
    <x v="2"/>
    <d v="2024-07-15T00:00:00"/>
    <x v="1"/>
    <n v="10"/>
    <x v="0"/>
    <s v="No"/>
    <s v="-"/>
    <s v="Yes"/>
    <n v="20"/>
    <x v="2"/>
    <n v="5"/>
    <n v="25"/>
  </r>
  <r>
    <n v="3372"/>
    <s v="Elisa Neves"/>
    <x v="1"/>
    <d v="2024-07-16T00:00:00"/>
    <x v="0"/>
    <n v="5"/>
    <x v="1"/>
    <s v="No"/>
    <s v="-"/>
    <s v="No"/>
    <n v="0"/>
    <x v="1"/>
    <n v="0"/>
    <n v="5"/>
  </r>
  <r>
    <n v="3373"/>
    <s v="Fabiano Gomes"/>
    <x v="0"/>
    <d v="2024-07-17T00:00:00"/>
    <x v="1"/>
    <n v="15"/>
    <x v="2"/>
    <s v="Yes"/>
    <n v="30"/>
    <s v="Yes"/>
    <n v="20"/>
    <x v="0"/>
    <n v="20"/>
    <n v="45"/>
  </r>
  <r>
    <n v="3374"/>
    <s v="Gisele Oliveira"/>
    <x v="2"/>
    <d v="2024-07-18T00:00:00"/>
    <x v="0"/>
    <n v="10"/>
    <x v="2"/>
    <s v="No"/>
    <s v="-"/>
    <s v="Yes"/>
    <n v="20"/>
    <x v="2"/>
    <n v="12"/>
    <n v="18"/>
  </r>
  <r>
    <n v="3375"/>
    <s v="Héctor Silva"/>
    <x v="1"/>
    <d v="2024-07-19T00:00:00"/>
    <x v="1"/>
    <n v="5"/>
    <x v="0"/>
    <s v="No"/>
    <s v="-"/>
    <s v="No"/>
    <n v="0"/>
    <x v="1"/>
    <n v="2"/>
    <n v="3"/>
  </r>
  <r>
    <n v="3376"/>
    <s v="Igor Martins"/>
    <x v="0"/>
    <d v="2024-07-20T00:00:00"/>
    <x v="0"/>
    <n v="15"/>
    <x v="1"/>
    <s v="Yes"/>
    <n v="30"/>
    <s v="Yes"/>
    <n v="20"/>
    <x v="0"/>
    <n v="5"/>
    <n v="60"/>
  </r>
  <r>
    <n v="3377"/>
    <s v="Joana Figueiredo"/>
    <x v="2"/>
    <d v="2024-07-21T00:00:00"/>
    <x v="1"/>
    <n v="10"/>
    <x v="0"/>
    <s v="No"/>
    <s v="-"/>
    <s v="Yes"/>
    <n v="20"/>
    <x v="2"/>
    <n v="10"/>
    <n v="20"/>
  </r>
  <r>
    <n v="3378"/>
    <s v="Kleber Machado"/>
    <x v="1"/>
    <d v="2024-07-22T00:00:00"/>
    <x v="0"/>
    <n v="5"/>
    <x v="2"/>
    <s v="No"/>
    <s v="-"/>
    <s v="No"/>
    <n v="0"/>
    <x v="1"/>
    <n v="0"/>
    <n v="5"/>
  </r>
  <r>
    <n v="3379"/>
    <s v="Luciana Santos"/>
    <x v="0"/>
    <d v="2024-07-23T00:00:00"/>
    <x v="1"/>
    <n v="15"/>
    <x v="0"/>
    <s v="Yes"/>
    <n v="30"/>
    <s v="Yes"/>
    <n v="20"/>
    <x v="0"/>
    <n v="3"/>
    <n v="62"/>
  </r>
  <r>
    <n v="3380"/>
    <s v="Marcos Teixeira"/>
    <x v="2"/>
    <d v="2024-07-24T00:00:00"/>
    <x v="0"/>
    <n v="10"/>
    <x v="1"/>
    <s v="No"/>
    <s v="-"/>
    <s v="Yes"/>
    <n v="20"/>
    <x v="2"/>
    <n v="15"/>
    <n v="15"/>
  </r>
  <r>
    <n v="3381"/>
    <s v="Natalia Costa"/>
    <x v="1"/>
    <d v="2024-07-25T00:00:00"/>
    <x v="1"/>
    <n v="5"/>
    <x v="0"/>
    <s v="No"/>
    <s v="-"/>
    <s v="No"/>
    <n v="0"/>
    <x v="1"/>
    <n v="1"/>
    <n v="4"/>
  </r>
  <r>
    <n v="3382"/>
    <s v="Oscar Ribeiro"/>
    <x v="0"/>
    <d v="2024-07-26T00:00:00"/>
    <x v="0"/>
    <n v="15"/>
    <x v="2"/>
    <s v="Yes"/>
    <n v="30"/>
    <s v="Yes"/>
    <n v="20"/>
    <x v="0"/>
    <n v="7"/>
    <n v="58"/>
  </r>
  <r>
    <n v="3383"/>
    <s v="Patricia Almeida"/>
    <x v="2"/>
    <d v="2024-07-27T00:00:00"/>
    <x v="1"/>
    <n v="10"/>
    <x v="0"/>
    <s v="No"/>
    <s v="-"/>
    <s v="Yes"/>
    <n v="20"/>
    <x v="2"/>
    <n v="10"/>
    <n v="20"/>
  </r>
  <r>
    <n v="3384"/>
    <s v="Quirino Junior"/>
    <x v="1"/>
    <d v="2024-07-28T00:00:00"/>
    <x v="0"/>
    <n v="5"/>
    <x v="1"/>
    <s v="No"/>
    <s v="-"/>
    <s v="No"/>
    <n v="0"/>
    <x v="1"/>
    <n v="0"/>
    <n v="5"/>
  </r>
  <r>
    <n v="3385"/>
    <s v="Renata Machado"/>
    <x v="0"/>
    <d v="2024-07-29T00:00:00"/>
    <x v="1"/>
    <n v="15"/>
    <x v="0"/>
    <s v="Yes"/>
    <n v="30"/>
    <s v="Yes"/>
    <n v="20"/>
    <x v="0"/>
    <n v="20"/>
    <n v="45"/>
  </r>
  <r>
    <n v="3386"/>
    <s v="Sônia Alves"/>
    <x v="2"/>
    <d v="2024-07-30T00:00:00"/>
    <x v="0"/>
    <n v="10"/>
    <x v="2"/>
    <s v="No"/>
    <s v="-"/>
    <s v="Yes"/>
    <n v="20"/>
    <x v="2"/>
    <n v="15"/>
    <n v="15"/>
  </r>
  <r>
    <n v="3387"/>
    <s v="Tiago Nunes"/>
    <x v="1"/>
    <d v="2024-07-31T00:00:00"/>
    <x v="1"/>
    <n v="5"/>
    <x v="0"/>
    <s v="No"/>
    <s v="-"/>
    <s v="No"/>
    <n v="0"/>
    <x v="1"/>
    <n v="1"/>
    <n v="4"/>
  </r>
  <r>
    <n v="3388"/>
    <s v="Ulysses Pereira"/>
    <x v="0"/>
    <d v="2024-08-01T00:00:00"/>
    <x v="0"/>
    <n v="15"/>
    <x v="1"/>
    <s v="Yes"/>
    <n v="30"/>
    <s v="Yes"/>
    <n v="20"/>
    <x v="0"/>
    <n v="3"/>
    <n v="62"/>
  </r>
  <r>
    <n v="3389"/>
    <s v="Vanessa Lima"/>
    <x v="2"/>
    <d v="2024-08-02T00:00:00"/>
    <x v="1"/>
    <n v="10"/>
    <x v="0"/>
    <s v="No"/>
    <s v="-"/>
    <s v="Yes"/>
    <n v="20"/>
    <x v="2"/>
    <n v="10"/>
    <n v="20"/>
  </r>
  <r>
    <n v="3390"/>
    <s v="Wagner Santos"/>
    <x v="1"/>
    <d v="2024-08-03T00:00:00"/>
    <x v="0"/>
    <n v="5"/>
    <x v="2"/>
    <s v="No"/>
    <s v="-"/>
    <s v="No"/>
    <n v="0"/>
    <x v="1"/>
    <n v="0"/>
    <n v="5"/>
  </r>
  <r>
    <n v="3391"/>
    <s v="Xuxa Meneghel"/>
    <x v="0"/>
    <d v="2024-08-04T00:00:00"/>
    <x v="1"/>
    <n v="15"/>
    <x v="0"/>
    <s v="Yes"/>
    <n v="30"/>
    <s v="Yes"/>
    <n v="20"/>
    <x v="0"/>
    <n v="15"/>
    <n v="50"/>
  </r>
  <r>
    <n v="3392"/>
    <s v="Yasmin Silva"/>
    <x v="2"/>
    <d v="2024-08-05T00:00:00"/>
    <x v="0"/>
    <n v="10"/>
    <x v="1"/>
    <s v="No"/>
    <s v="-"/>
    <s v="Yes"/>
    <n v="20"/>
    <x v="2"/>
    <n v="15"/>
    <n v="15"/>
  </r>
  <r>
    <n v="3393"/>
    <s v="Zacarias de Souza"/>
    <x v="1"/>
    <d v="2024-08-06T00:00:00"/>
    <x v="1"/>
    <n v="5"/>
    <x v="0"/>
    <s v="No"/>
    <s v="-"/>
    <s v="No"/>
    <n v="0"/>
    <x v="1"/>
    <n v="1"/>
    <n v="4"/>
  </r>
  <r>
    <n v="3394"/>
    <s v="André Lima"/>
    <x v="0"/>
    <d v="2024-08-07T00:00:00"/>
    <x v="0"/>
    <n v="15"/>
    <x v="2"/>
    <s v="Yes"/>
    <n v="30"/>
    <s v="Yes"/>
    <n v="20"/>
    <x v="0"/>
    <n v="7"/>
    <n v="58"/>
  </r>
  <r>
    <n v="3395"/>
    <s v="Bianca Freitas"/>
    <x v="2"/>
    <d v="2024-08-08T00:00:00"/>
    <x v="1"/>
    <n v="10"/>
    <x v="0"/>
    <s v="No"/>
    <s v="-"/>
    <s v="Yes"/>
    <n v="20"/>
    <x v="2"/>
    <n v="10"/>
    <n v="20"/>
  </r>
  <r>
    <n v="3396"/>
    <s v="Caio Mendes"/>
    <x v="1"/>
    <d v="2024-08-09T00:00:00"/>
    <x v="0"/>
    <n v="5"/>
    <x v="1"/>
    <s v="No"/>
    <s v="-"/>
    <s v="No"/>
    <n v="0"/>
    <x v="1"/>
    <n v="0"/>
    <n v="5"/>
  </r>
  <r>
    <n v="3397"/>
    <s v="Daniela Moura"/>
    <x v="0"/>
    <d v="2024-08-10T00:00:00"/>
    <x v="1"/>
    <n v="15"/>
    <x v="0"/>
    <s v="Yes"/>
    <n v="30"/>
    <s v="Yes"/>
    <n v="20"/>
    <x v="0"/>
    <n v="20"/>
    <n v="45"/>
  </r>
  <r>
    <n v="3398"/>
    <s v="Eduardo Costa"/>
    <x v="2"/>
    <d v="2024-08-11T00:00:00"/>
    <x v="0"/>
    <n v="10"/>
    <x v="2"/>
    <s v="No"/>
    <s v="-"/>
    <s v="Yes"/>
    <n v="20"/>
    <x v="2"/>
    <n v="15"/>
    <n v="15"/>
  </r>
  <r>
    <n v="3399"/>
    <s v="Fernanda Gomes"/>
    <x v="1"/>
    <d v="2024-08-12T00:00:00"/>
    <x v="1"/>
    <n v="5"/>
    <x v="0"/>
    <s v="No"/>
    <s v="-"/>
    <s v="No"/>
    <n v="0"/>
    <x v="1"/>
    <n v="1"/>
    <n v="4"/>
  </r>
  <r>
    <n v="3400"/>
    <s v="Guilherme Souza"/>
    <x v="0"/>
    <d v="2024-08-13T00:00:00"/>
    <x v="0"/>
    <n v="15"/>
    <x v="1"/>
    <s v="Yes"/>
    <n v="30"/>
    <s v="Yes"/>
    <n v="20"/>
    <x v="0"/>
    <n v="5"/>
    <n v="60"/>
  </r>
  <r>
    <n v="3401"/>
    <s v="Helena Ribeiro"/>
    <x v="2"/>
    <d v="2024-08-14T00:00:00"/>
    <x v="1"/>
    <n v="10"/>
    <x v="0"/>
    <s v="No"/>
    <s v="-"/>
    <s v="Yes"/>
    <n v="20"/>
    <x v="2"/>
    <n v="10"/>
    <n v="20"/>
  </r>
  <r>
    <n v="3402"/>
    <s v="Igor Santos"/>
    <x v="1"/>
    <d v="2024-08-15T00:00:00"/>
    <x v="0"/>
    <n v="5"/>
    <x v="2"/>
    <s v="No"/>
    <s v="-"/>
    <s v="No"/>
    <n v="0"/>
    <x v="1"/>
    <n v="0"/>
    <n v="5"/>
  </r>
  <r>
    <n v="3403"/>
    <s v="João Carvalho"/>
    <x v="0"/>
    <d v="2024-08-16T00:00:00"/>
    <x v="1"/>
    <n v="15"/>
    <x v="0"/>
    <s v="Yes"/>
    <n v="30"/>
    <s v="Yes"/>
    <n v="20"/>
    <x v="0"/>
    <n v="3"/>
    <n v="62"/>
  </r>
  <r>
    <n v="3404"/>
    <s v="Klara Fagundes"/>
    <x v="2"/>
    <d v="2024-08-17T00:00:00"/>
    <x v="0"/>
    <n v="10"/>
    <x v="1"/>
    <s v="No"/>
    <s v="-"/>
    <s v="Yes"/>
    <n v="20"/>
    <x v="2"/>
    <n v="15"/>
    <n v="15"/>
  </r>
  <r>
    <n v="3405"/>
    <s v="Lúcia Mendonça"/>
    <x v="1"/>
    <d v="2024-08-18T00:00:00"/>
    <x v="1"/>
    <n v="5"/>
    <x v="0"/>
    <s v="No"/>
    <s v="-"/>
    <s v="No"/>
    <n v="0"/>
    <x v="1"/>
    <n v="1"/>
    <n v="4"/>
  </r>
  <r>
    <n v="3406"/>
    <s v="Marcelo Novaes"/>
    <x v="1"/>
    <d v="2024-08-19T00:00:00"/>
    <x v="0"/>
    <n v="5"/>
    <x v="0"/>
    <s v="No"/>
    <s v="-"/>
    <s v="No"/>
    <n v="0"/>
    <x v="1"/>
    <n v="0"/>
    <n v="5"/>
  </r>
  <r>
    <n v="3407"/>
    <s v="Nina Pacheco"/>
    <x v="0"/>
    <d v="2024-08-20T00:00:00"/>
    <x v="1"/>
    <n v="15"/>
    <x v="2"/>
    <s v="Yes"/>
    <n v="30"/>
    <s v="Yes"/>
    <n v="20"/>
    <x v="0"/>
    <n v="7"/>
    <n v="58"/>
  </r>
  <r>
    <n v="3408"/>
    <s v="Olívia Rios"/>
    <x v="2"/>
    <d v="2024-08-21T00:00:00"/>
    <x v="0"/>
    <n v="10"/>
    <x v="1"/>
    <s v="No"/>
    <s v="-"/>
    <s v="Yes"/>
    <n v="20"/>
    <x v="2"/>
    <n v="10"/>
    <n v="20"/>
  </r>
  <r>
    <n v="3409"/>
    <s v="Paulo Quintana"/>
    <x v="1"/>
    <d v="2024-08-22T00:00:00"/>
    <x v="1"/>
    <n v="5"/>
    <x v="2"/>
    <s v="No"/>
    <s v="-"/>
    <s v="No"/>
    <n v="0"/>
    <x v="1"/>
    <n v="1"/>
    <n v="4"/>
  </r>
  <r>
    <n v="3410"/>
    <s v="Raquel Domingos"/>
    <x v="0"/>
    <d v="2024-08-23T00:00:00"/>
    <x v="0"/>
    <n v="15"/>
    <x v="0"/>
    <s v="Yes"/>
    <n v="30"/>
    <s v="Yes"/>
    <n v="20"/>
    <x v="0"/>
    <n v="15"/>
    <n v="50"/>
  </r>
  <r>
    <n v="3411"/>
    <s v="Samuel Viana"/>
    <x v="2"/>
    <d v="2024-08-24T00:00:00"/>
    <x v="1"/>
    <n v="10"/>
    <x v="0"/>
    <s v="No"/>
    <s v="-"/>
    <s v="Yes"/>
    <n v="20"/>
    <x v="2"/>
    <n v="5"/>
    <n v="25"/>
  </r>
  <r>
    <n v="3412"/>
    <s v="Tatiane Rocha"/>
    <x v="1"/>
    <d v="2024-08-25T00:00:00"/>
    <x v="0"/>
    <n v="5"/>
    <x v="1"/>
    <s v="No"/>
    <s v="-"/>
    <s v="No"/>
    <n v="0"/>
    <x v="1"/>
    <n v="0"/>
    <n v="5"/>
  </r>
  <r>
    <n v="3413"/>
    <s v="Ulysses Farias"/>
    <x v="0"/>
    <d v="2024-08-26T00:00:00"/>
    <x v="1"/>
    <n v="15"/>
    <x v="2"/>
    <s v="Yes"/>
    <n v="30"/>
    <s v="Yes"/>
    <n v="20"/>
    <x v="0"/>
    <n v="20"/>
    <n v="45"/>
  </r>
  <r>
    <n v="3414"/>
    <s v="Vanessa Moreira"/>
    <x v="2"/>
    <d v="2024-08-27T00:00:00"/>
    <x v="0"/>
    <n v="10"/>
    <x v="2"/>
    <s v="No"/>
    <s v="-"/>
    <s v="Yes"/>
    <n v="20"/>
    <x v="2"/>
    <n v="12"/>
    <n v="18"/>
  </r>
  <r>
    <n v="3415"/>
    <s v="William Carvalho"/>
    <x v="1"/>
    <d v="2024-08-28T00:00:00"/>
    <x v="1"/>
    <n v="5"/>
    <x v="0"/>
    <s v="No"/>
    <s v="-"/>
    <s v="No"/>
    <n v="0"/>
    <x v="1"/>
    <n v="2"/>
    <n v="3"/>
  </r>
  <r>
    <n v="3416"/>
    <s v="Ximena Barros"/>
    <x v="0"/>
    <d v="2024-08-29T00:00:00"/>
    <x v="0"/>
    <n v="15"/>
    <x v="1"/>
    <s v="Yes"/>
    <n v="30"/>
    <s v="Yes"/>
    <n v="20"/>
    <x v="0"/>
    <n v="5"/>
    <n v="60"/>
  </r>
  <r>
    <n v="3417"/>
    <s v="Yara Machado"/>
    <x v="2"/>
    <d v="2024-08-30T00:00:00"/>
    <x v="1"/>
    <n v="10"/>
    <x v="0"/>
    <s v="No"/>
    <s v="-"/>
    <s v="Yes"/>
    <n v="20"/>
    <x v="2"/>
    <n v="10"/>
    <n v="20"/>
  </r>
  <r>
    <n v="3418"/>
    <s v="Zacarias Costa"/>
    <x v="1"/>
    <d v="2024-08-31T00:00:00"/>
    <x v="0"/>
    <n v="5"/>
    <x v="2"/>
    <s v="No"/>
    <s v="-"/>
    <s v="No"/>
    <n v="0"/>
    <x v="1"/>
    <n v="0"/>
    <n v="5"/>
  </r>
  <r>
    <n v="3419"/>
    <s v="André Lopes"/>
    <x v="0"/>
    <d v="2024-09-01T00:00:00"/>
    <x v="1"/>
    <n v="15"/>
    <x v="0"/>
    <s v="Yes"/>
    <n v="30"/>
    <s v="Yes"/>
    <n v="20"/>
    <x v="0"/>
    <n v="3"/>
    <n v="62"/>
  </r>
  <r>
    <n v="3420"/>
    <s v="Beatriz Souza"/>
    <x v="2"/>
    <d v="2024-09-02T00:00:00"/>
    <x v="0"/>
    <n v="10"/>
    <x v="1"/>
    <s v="No"/>
    <s v="-"/>
    <s v="Yes"/>
    <n v="20"/>
    <x v="2"/>
    <n v="15"/>
    <n v="15"/>
  </r>
  <r>
    <n v="3421"/>
    <s v="Caio Pereira"/>
    <x v="1"/>
    <d v="2024-09-03T00:00:00"/>
    <x v="1"/>
    <n v="5"/>
    <x v="0"/>
    <s v="No"/>
    <s v="-"/>
    <s v="No"/>
    <n v="0"/>
    <x v="1"/>
    <n v="1"/>
    <n v="4"/>
  </r>
  <r>
    <n v="3422"/>
    <s v="Daniela Araújo"/>
    <x v="0"/>
    <d v="2024-09-04T00:00:00"/>
    <x v="0"/>
    <n v="15"/>
    <x v="2"/>
    <s v="Yes"/>
    <n v="30"/>
    <s v="Yes"/>
    <n v="20"/>
    <x v="0"/>
    <n v="7"/>
    <n v="58"/>
  </r>
  <r>
    <n v="3423"/>
    <s v="Eduardo Santos"/>
    <x v="2"/>
    <d v="2024-09-05T00:00:00"/>
    <x v="1"/>
    <n v="10"/>
    <x v="0"/>
    <s v="No"/>
    <s v="-"/>
    <s v="Yes"/>
    <n v="20"/>
    <x v="2"/>
    <n v="10"/>
    <n v="20"/>
  </r>
  <r>
    <n v="3424"/>
    <s v="Fernanda Lima"/>
    <x v="1"/>
    <d v="2024-09-06T00:00:00"/>
    <x v="0"/>
    <n v="5"/>
    <x v="1"/>
    <s v="No"/>
    <s v="-"/>
    <s v="No"/>
    <n v="0"/>
    <x v="1"/>
    <n v="0"/>
    <n v="5"/>
  </r>
  <r>
    <n v="3425"/>
    <s v="Gabriel Teixeira"/>
    <x v="0"/>
    <d v="2024-09-07T00:00:00"/>
    <x v="1"/>
    <n v="15"/>
    <x v="0"/>
    <s v="Yes"/>
    <n v="30"/>
    <s v="Yes"/>
    <n v="20"/>
    <x v="0"/>
    <n v="20"/>
    <n v="45"/>
  </r>
  <r>
    <n v="3426"/>
    <s v="Helena Ribeiro"/>
    <x v="2"/>
    <d v="2024-09-08T00:00:00"/>
    <x v="0"/>
    <n v="10"/>
    <x v="2"/>
    <s v="No"/>
    <s v="-"/>
    <s v="Yes"/>
    <n v="20"/>
    <x v="2"/>
    <n v="15"/>
    <n v="15"/>
  </r>
  <r>
    <n v="3427"/>
    <s v="Igor Mendes"/>
    <x v="1"/>
    <d v="2024-09-09T00:00:00"/>
    <x v="1"/>
    <n v="5"/>
    <x v="0"/>
    <s v="No"/>
    <s v="-"/>
    <s v="No"/>
    <n v="0"/>
    <x v="1"/>
    <n v="1"/>
    <n v="4"/>
  </r>
  <r>
    <n v="3428"/>
    <s v="Joana Silveira"/>
    <x v="0"/>
    <d v="2024-09-10T00:00:00"/>
    <x v="0"/>
    <n v="15"/>
    <x v="1"/>
    <s v="Yes"/>
    <n v="30"/>
    <s v="Yes"/>
    <n v="20"/>
    <x v="0"/>
    <n v="3"/>
    <n v="62"/>
  </r>
  <r>
    <n v="3429"/>
    <s v="Lucas Martins"/>
    <x v="2"/>
    <d v="2024-09-11T00:00:00"/>
    <x v="1"/>
    <n v="10"/>
    <x v="0"/>
    <s v="No"/>
    <s v="-"/>
    <s v="Yes"/>
    <n v="20"/>
    <x v="2"/>
    <n v="10"/>
    <n v="20"/>
  </r>
  <r>
    <n v="3430"/>
    <s v="Marcela Gouveia"/>
    <x v="1"/>
    <d v="2024-09-12T00:00:00"/>
    <x v="0"/>
    <n v="5"/>
    <x v="2"/>
    <s v="No"/>
    <s v="-"/>
    <s v="No"/>
    <n v="0"/>
    <x v="1"/>
    <n v="0"/>
    <n v="5"/>
  </r>
  <r>
    <n v="3431"/>
    <s v="Nicolas Borges"/>
    <x v="0"/>
    <d v="2024-09-13T00:00:00"/>
    <x v="1"/>
    <n v="15"/>
    <x v="0"/>
    <s v="Yes"/>
    <n v="30"/>
    <s v="Yes"/>
    <n v="20"/>
    <x v="0"/>
    <n v="15"/>
    <n v="50"/>
  </r>
  <r>
    <n v="3432"/>
    <s v="Olivia Freitas"/>
    <x v="2"/>
    <d v="2024-09-14T00:00:00"/>
    <x v="0"/>
    <n v="10"/>
    <x v="1"/>
    <s v="No"/>
    <s v="-"/>
    <s v="Yes"/>
    <n v="20"/>
    <x v="2"/>
    <n v="15"/>
    <n v="15"/>
  </r>
  <r>
    <n v="3433"/>
    <s v="Paulo Nogueira"/>
    <x v="1"/>
    <d v="2024-09-15T00:00:00"/>
    <x v="1"/>
    <n v="5"/>
    <x v="0"/>
    <s v="No"/>
    <s v="-"/>
    <s v="No"/>
    <n v="0"/>
    <x v="1"/>
    <n v="1"/>
    <n v="4"/>
  </r>
  <r>
    <n v="3434"/>
    <s v="Raquel Andrade"/>
    <x v="0"/>
    <d v="2024-09-16T00:00:00"/>
    <x v="0"/>
    <n v="15"/>
    <x v="2"/>
    <s v="Yes"/>
    <n v="30"/>
    <s v="Yes"/>
    <n v="20"/>
    <x v="0"/>
    <n v="7"/>
    <n v="58"/>
  </r>
  <r>
    <n v="3435"/>
    <s v="Sônia Carvalho"/>
    <x v="2"/>
    <d v="2024-09-17T00:00:00"/>
    <x v="1"/>
    <n v="10"/>
    <x v="0"/>
    <s v="No"/>
    <s v="-"/>
    <s v="Yes"/>
    <n v="20"/>
    <x v="2"/>
    <n v="10"/>
    <n v="20"/>
  </r>
  <r>
    <n v="3436"/>
    <s v="Tiago Rodrigues"/>
    <x v="1"/>
    <d v="2024-09-18T00:00:00"/>
    <x v="0"/>
    <n v="5"/>
    <x v="0"/>
    <s v="No"/>
    <s v="-"/>
    <s v="No"/>
    <n v="0"/>
    <x v="1"/>
    <n v="0"/>
    <n v="5"/>
  </r>
  <r>
    <n v="3437"/>
    <s v="Ursula Monteiro"/>
    <x v="0"/>
    <d v="2024-09-19T00:00:00"/>
    <x v="1"/>
    <n v="15"/>
    <x v="2"/>
    <s v="Yes"/>
    <n v="30"/>
    <s v="Yes"/>
    <n v="20"/>
    <x v="0"/>
    <n v="7"/>
    <n v="58"/>
  </r>
  <r>
    <n v="3438"/>
    <s v="Vanessa Pereira"/>
    <x v="2"/>
    <d v="2024-09-20T00:00:00"/>
    <x v="0"/>
    <n v="10"/>
    <x v="1"/>
    <s v="No"/>
    <s v="-"/>
    <s v="Yes"/>
    <n v="20"/>
    <x v="2"/>
    <n v="10"/>
    <n v="20"/>
  </r>
  <r>
    <n v="3439"/>
    <s v="Walter Silva"/>
    <x v="1"/>
    <d v="2024-09-21T00:00:00"/>
    <x v="1"/>
    <n v="5"/>
    <x v="2"/>
    <s v="No"/>
    <s v="-"/>
    <s v="No"/>
    <n v="0"/>
    <x v="1"/>
    <n v="1"/>
    <n v="4"/>
  </r>
  <r>
    <n v="3440"/>
    <s v="Xavier Almeida"/>
    <x v="0"/>
    <d v="2024-09-22T00:00:00"/>
    <x v="0"/>
    <n v="15"/>
    <x v="0"/>
    <s v="Yes"/>
    <n v="30"/>
    <s v="Yes"/>
    <n v="20"/>
    <x v="0"/>
    <n v="15"/>
    <n v="50"/>
  </r>
  <r>
    <n v="3441"/>
    <s v="Yasmine Correia"/>
    <x v="2"/>
    <d v="2024-09-23T00:00:00"/>
    <x v="1"/>
    <n v="10"/>
    <x v="0"/>
    <s v="No"/>
    <s v="-"/>
    <s v="Yes"/>
    <n v="20"/>
    <x v="2"/>
    <n v="5"/>
    <n v="25"/>
  </r>
  <r>
    <n v="3442"/>
    <s v="Zacarias Almeida"/>
    <x v="1"/>
    <d v="2024-09-24T00:00:00"/>
    <x v="0"/>
    <n v="5"/>
    <x v="1"/>
    <s v="No"/>
    <s v="-"/>
    <s v="No"/>
    <n v="0"/>
    <x v="1"/>
    <n v="0"/>
    <n v="5"/>
  </r>
  <r>
    <n v="3443"/>
    <s v="Amanda Costa"/>
    <x v="0"/>
    <d v="2024-09-25T00:00:00"/>
    <x v="1"/>
    <n v="15"/>
    <x v="2"/>
    <s v="Yes"/>
    <n v="30"/>
    <s v="Yes"/>
    <n v="20"/>
    <x v="0"/>
    <n v="20"/>
    <n v="45"/>
  </r>
  <r>
    <n v="3444"/>
    <s v="Bruno Ferreira"/>
    <x v="2"/>
    <d v="2024-09-26T00:00:00"/>
    <x v="0"/>
    <n v="10"/>
    <x v="2"/>
    <s v="No"/>
    <s v="-"/>
    <s v="Yes"/>
    <n v="20"/>
    <x v="2"/>
    <n v="12"/>
    <n v="18"/>
  </r>
  <r>
    <n v="3445"/>
    <s v="Carla Dias"/>
    <x v="1"/>
    <d v="2024-09-27T00:00:00"/>
    <x v="1"/>
    <n v="5"/>
    <x v="0"/>
    <s v="No"/>
    <s v="-"/>
    <s v="No"/>
    <n v="0"/>
    <x v="1"/>
    <n v="2"/>
    <n v="3"/>
  </r>
  <r>
    <n v="3446"/>
    <s v="Diogo Martins"/>
    <x v="0"/>
    <d v="2024-09-28T00:00:00"/>
    <x v="0"/>
    <n v="15"/>
    <x v="1"/>
    <s v="Yes"/>
    <n v="30"/>
    <s v="Yes"/>
    <n v="20"/>
    <x v="0"/>
    <n v="5"/>
    <n v="60"/>
  </r>
  <r>
    <n v="3447"/>
    <s v="Elisa Campos"/>
    <x v="2"/>
    <d v="2024-09-29T00:00:00"/>
    <x v="1"/>
    <n v="10"/>
    <x v="0"/>
    <s v="No"/>
    <s v="-"/>
    <s v="Yes"/>
    <n v="20"/>
    <x v="2"/>
    <n v="10"/>
    <n v="20"/>
  </r>
  <r>
    <n v="3448"/>
    <s v="Fabiana Lima"/>
    <x v="1"/>
    <d v="2024-09-30T00:00:00"/>
    <x v="0"/>
    <n v="5"/>
    <x v="2"/>
    <s v="No"/>
    <s v="-"/>
    <s v="No"/>
    <n v="0"/>
    <x v="1"/>
    <n v="0"/>
    <n v="5"/>
  </r>
  <r>
    <n v="3449"/>
    <s v="Gabriel Santos"/>
    <x v="0"/>
    <d v="2024-10-01T00:00:00"/>
    <x v="1"/>
    <n v="15"/>
    <x v="0"/>
    <s v="Yes"/>
    <n v="30"/>
    <s v="Yes"/>
    <n v="20"/>
    <x v="0"/>
    <n v="3"/>
    <n v="62"/>
  </r>
  <r>
    <n v="3450"/>
    <s v="Helena Ferreira"/>
    <x v="2"/>
    <d v="2024-10-02T00:00:00"/>
    <x v="0"/>
    <n v="10"/>
    <x v="1"/>
    <s v="No"/>
    <s v="-"/>
    <s v="Yes"/>
    <n v="20"/>
    <x v="2"/>
    <n v="15"/>
    <n v="15"/>
  </r>
  <r>
    <n v="3451"/>
    <s v="Ígor Nunes"/>
    <x v="1"/>
    <d v="2024-10-03T00:00:00"/>
    <x v="1"/>
    <n v="5"/>
    <x v="0"/>
    <s v="No"/>
    <s v="-"/>
    <s v="No"/>
    <n v="0"/>
    <x v="1"/>
    <n v="1"/>
    <n v="4"/>
  </r>
  <r>
    <n v="3452"/>
    <s v="Joana Silveira"/>
    <x v="0"/>
    <d v="2024-10-04T00:00:00"/>
    <x v="0"/>
    <n v="15"/>
    <x v="2"/>
    <s v="Yes"/>
    <n v="30"/>
    <s v="Yes"/>
    <n v="20"/>
    <x v="0"/>
    <n v="7"/>
    <n v="58"/>
  </r>
  <r>
    <n v="3453"/>
    <s v="Kléber Oliveira"/>
    <x v="2"/>
    <d v="2024-10-05T00:00:00"/>
    <x v="1"/>
    <n v="10"/>
    <x v="0"/>
    <s v="No"/>
    <s v="-"/>
    <s v="Yes"/>
    <n v="20"/>
    <x v="2"/>
    <n v="10"/>
    <n v="20"/>
  </r>
  <r>
    <n v="3454"/>
    <s v="Luciana Morais"/>
    <x v="1"/>
    <d v="2024-10-06T00:00:00"/>
    <x v="0"/>
    <n v="5"/>
    <x v="1"/>
    <s v="No"/>
    <s v="-"/>
    <s v="No"/>
    <n v="0"/>
    <x v="1"/>
    <n v="0"/>
    <n v="5"/>
  </r>
  <r>
    <n v="3455"/>
    <s v="Marcos Vinícius"/>
    <x v="0"/>
    <d v="2024-10-07T00:00:00"/>
    <x v="1"/>
    <n v="15"/>
    <x v="0"/>
    <s v="Yes"/>
    <n v="30"/>
    <s v="Yes"/>
    <n v="20"/>
    <x v="0"/>
    <n v="20"/>
    <n v="45"/>
  </r>
  <r>
    <n v="3456"/>
    <s v="Natália Barros"/>
    <x v="2"/>
    <d v="2024-10-08T00:00:00"/>
    <x v="0"/>
    <n v="10"/>
    <x v="2"/>
    <s v="No"/>
    <s v="-"/>
    <s v="Yes"/>
    <n v="20"/>
    <x v="2"/>
    <n v="15"/>
    <n v="15"/>
  </r>
  <r>
    <n v="3457"/>
    <s v="Oscar Sampaio"/>
    <x v="1"/>
    <d v="2024-10-09T00:00:00"/>
    <x v="1"/>
    <n v="5"/>
    <x v="0"/>
    <s v="No"/>
    <s v="-"/>
    <s v="No"/>
    <n v="0"/>
    <x v="1"/>
    <n v="1"/>
    <n v="4"/>
  </r>
  <r>
    <n v="3458"/>
    <s v="Patrícia Leite"/>
    <x v="0"/>
    <d v="2024-10-10T00:00:00"/>
    <x v="0"/>
    <n v="15"/>
    <x v="1"/>
    <s v="Yes"/>
    <n v="30"/>
    <s v="Yes"/>
    <n v="20"/>
    <x v="0"/>
    <n v="3"/>
    <n v="62"/>
  </r>
  <r>
    <n v="3459"/>
    <s v="Quênia Rocha"/>
    <x v="2"/>
    <d v="2024-10-11T00:00:00"/>
    <x v="1"/>
    <n v="10"/>
    <x v="0"/>
    <s v="No"/>
    <s v="-"/>
    <s v="Yes"/>
    <n v="20"/>
    <x v="2"/>
    <n v="10"/>
    <n v="20"/>
  </r>
  <r>
    <n v="3460"/>
    <s v="Rafael Torres"/>
    <x v="1"/>
    <d v="2024-10-12T00:00:00"/>
    <x v="0"/>
    <n v="5"/>
    <x v="2"/>
    <s v="No"/>
    <s v="-"/>
    <s v="No"/>
    <n v="0"/>
    <x v="1"/>
    <n v="0"/>
    <n v="5"/>
  </r>
  <r>
    <n v="3461"/>
    <s v="Sandra Gouveia"/>
    <x v="0"/>
    <d v="2024-10-13T00:00:00"/>
    <x v="1"/>
    <n v="15"/>
    <x v="0"/>
    <s v="Yes"/>
    <n v="30"/>
    <s v="Yes"/>
    <n v="20"/>
    <x v="0"/>
    <n v="15"/>
    <n v="50"/>
  </r>
  <r>
    <n v="3462"/>
    <s v="Tiago Lacerda"/>
    <x v="2"/>
    <d v="2024-10-14T00:00:00"/>
    <x v="0"/>
    <n v="10"/>
    <x v="1"/>
    <s v="No"/>
    <s v="-"/>
    <s v="Yes"/>
    <n v="20"/>
    <x v="2"/>
    <n v="15"/>
    <n v="15"/>
  </r>
  <r>
    <n v="3463"/>
    <s v="Ursula Fonseca"/>
    <x v="1"/>
    <d v="2024-10-15T00:00:00"/>
    <x v="1"/>
    <n v="5"/>
    <x v="0"/>
    <s v="No"/>
    <s v="-"/>
    <s v="No"/>
    <n v="0"/>
    <x v="1"/>
    <n v="1"/>
    <n v="4"/>
  </r>
  <r>
    <n v="3464"/>
    <s v="Vanessa Andrade"/>
    <x v="0"/>
    <d v="2024-10-16T00:00:00"/>
    <x v="0"/>
    <n v="15"/>
    <x v="2"/>
    <s v="Yes"/>
    <n v="30"/>
    <s v="Yes"/>
    <n v="20"/>
    <x v="0"/>
    <n v="7"/>
    <n v="58"/>
  </r>
  <r>
    <n v="3465"/>
    <s v="William Castro"/>
    <x v="2"/>
    <d v="2024-10-17T00:00:00"/>
    <x v="1"/>
    <n v="10"/>
    <x v="0"/>
    <s v="No"/>
    <s v="-"/>
    <s v="Yes"/>
    <n v="20"/>
    <x v="2"/>
    <n v="10"/>
    <n v="20"/>
  </r>
  <r>
    <n v="3466"/>
    <s v="Xavier Monteiro"/>
    <x v="1"/>
    <d v="2024-10-18T00:00:00"/>
    <x v="0"/>
    <n v="5"/>
    <x v="1"/>
    <s v="No"/>
    <s v="-"/>
    <s v="No"/>
    <n v="0"/>
    <x v="1"/>
    <n v="0"/>
    <n v="5"/>
  </r>
  <r>
    <n v="3467"/>
    <s v="Yasmin Figueira"/>
    <x v="0"/>
    <d v="2024-10-19T00:00:00"/>
    <x v="1"/>
    <n v="15"/>
    <x v="0"/>
    <s v="Yes"/>
    <n v="30"/>
    <s v="Yes"/>
    <n v="20"/>
    <x v="0"/>
    <n v="15"/>
    <n v="50"/>
  </r>
  <r>
    <n v="3468"/>
    <s v="Zacarias Mendonça"/>
    <x v="2"/>
    <d v="2024-10-20T00:00:00"/>
    <x v="0"/>
    <n v="10"/>
    <x v="2"/>
    <s v="No"/>
    <s v="-"/>
    <s v="Yes"/>
    <n v="20"/>
    <x v="2"/>
    <n v="12"/>
    <n v="18"/>
  </r>
  <r>
    <n v="3469"/>
    <s v="Amanda Menezes"/>
    <x v="1"/>
    <d v="2024-10-21T00:00:00"/>
    <x v="1"/>
    <n v="5"/>
    <x v="0"/>
    <s v="No"/>
    <s v="-"/>
    <s v="No"/>
    <n v="0"/>
    <x v="1"/>
    <n v="2"/>
    <n v="3"/>
  </r>
  <r>
    <n v="3470"/>
    <s v="Bruno Santos"/>
    <x v="0"/>
    <d v="2024-10-22T00:00:00"/>
    <x v="0"/>
    <n v="15"/>
    <x v="1"/>
    <s v="Yes"/>
    <n v="30"/>
    <s v="Yes"/>
    <n v="20"/>
    <x v="0"/>
    <n v="5"/>
    <n v="60"/>
  </r>
  <r>
    <n v="3471"/>
    <s v="Carla Ferreira"/>
    <x v="2"/>
    <d v="2024-10-23T00:00:00"/>
    <x v="1"/>
    <n v="10"/>
    <x v="0"/>
    <s v="No"/>
    <s v="-"/>
    <s v="Yes"/>
    <n v="20"/>
    <x v="2"/>
    <n v="10"/>
    <n v="20"/>
  </r>
  <r>
    <n v="3472"/>
    <s v="Diogo Alves"/>
    <x v="1"/>
    <d v="2024-10-24T00:00:00"/>
    <x v="0"/>
    <n v="5"/>
    <x v="2"/>
    <s v="No"/>
    <s v="-"/>
    <s v="No"/>
    <n v="0"/>
    <x v="1"/>
    <n v="0"/>
    <n v="5"/>
  </r>
  <r>
    <n v="3473"/>
    <s v="Elisa Neves"/>
    <x v="0"/>
    <d v="2024-10-25T00:00:00"/>
    <x v="1"/>
    <n v="15"/>
    <x v="0"/>
    <s v="Yes"/>
    <n v="30"/>
    <s v="Yes"/>
    <n v="20"/>
    <x v="0"/>
    <n v="3"/>
    <n v="62"/>
  </r>
  <r>
    <n v="3474"/>
    <s v="Fabiano Pires"/>
    <x v="2"/>
    <d v="2024-10-26T00:00:00"/>
    <x v="0"/>
    <n v="10"/>
    <x v="1"/>
    <s v="No"/>
    <s v="-"/>
    <s v="Yes"/>
    <n v="20"/>
    <x v="2"/>
    <n v="15"/>
    <n v="15"/>
  </r>
  <r>
    <n v="3475"/>
    <s v="Giovana Ribeiro"/>
    <x v="1"/>
    <d v="2024-10-27T00:00:00"/>
    <x v="1"/>
    <n v="5"/>
    <x v="0"/>
    <s v="No"/>
    <s v="-"/>
    <s v="No"/>
    <n v="0"/>
    <x v="1"/>
    <n v="1"/>
    <n v="4"/>
  </r>
  <r>
    <n v="3476"/>
    <s v="Hélio Costa"/>
    <x v="0"/>
    <d v="2024-10-28T00:00:00"/>
    <x v="0"/>
    <n v="15"/>
    <x v="2"/>
    <s v="Yes"/>
    <n v="30"/>
    <s v="Yes"/>
    <n v="20"/>
    <x v="0"/>
    <n v="7"/>
    <n v="58"/>
  </r>
  <r>
    <n v="3477"/>
    <s v="Íris Loureiro"/>
    <x v="2"/>
    <d v="2024-10-29T00:00:00"/>
    <x v="1"/>
    <n v="10"/>
    <x v="0"/>
    <s v="No"/>
    <s v="-"/>
    <s v="Yes"/>
    <n v="20"/>
    <x v="2"/>
    <n v="10"/>
    <n v="20"/>
  </r>
  <r>
    <n v="3478"/>
    <s v="João Pereira"/>
    <x v="1"/>
    <d v="2024-10-30T00:00:00"/>
    <x v="0"/>
    <n v="5"/>
    <x v="1"/>
    <s v="No"/>
    <s v="-"/>
    <s v="No"/>
    <n v="0"/>
    <x v="1"/>
    <n v="0"/>
    <n v="5"/>
  </r>
  <r>
    <n v="3479"/>
    <s v="Klara Silva"/>
    <x v="0"/>
    <d v="2024-10-31T00:00:00"/>
    <x v="1"/>
    <n v="15"/>
    <x v="0"/>
    <s v="Yes"/>
    <n v="30"/>
    <s v="Yes"/>
    <n v="20"/>
    <x v="0"/>
    <n v="20"/>
    <n v="45"/>
  </r>
  <r>
    <n v="3480"/>
    <s v="Luciana Barros"/>
    <x v="2"/>
    <d v="2024-11-01T00:00:00"/>
    <x v="0"/>
    <n v="10"/>
    <x v="2"/>
    <s v="No"/>
    <s v="-"/>
    <s v="Yes"/>
    <n v="20"/>
    <x v="2"/>
    <n v="15"/>
    <n v="15"/>
  </r>
  <r>
    <n v="3481"/>
    <s v="Marcos Gomes"/>
    <x v="1"/>
    <d v="2024-11-02T00:00:00"/>
    <x v="1"/>
    <n v="5"/>
    <x v="0"/>
    <s v="No"/>
    <s v="-"/>
    <s v="No"/>
    <n v="0"/>
    <x v="1"/>
    <n v="1"/>
    <n v="4"/>
  </r>
  <r>
    <n v="3482"/>
    <s v="Natália Soares"/>
    <x v="0"/>
    <d v="2024-11-03T00:00:00"/>
    <x v="0"/>
    <n v="15"/>
    <x v="1"/>
    <s v="Yes"/>
    <n v="30"/>
    <s v="Yes"/>
    <n v="20"/>
    <x v="0"/>
    <n v="3"/>
    <n v="62"/>
  </r>
  <r>
    <n v="3483"/>
    <s v="Oscar Machado"/>
    <x v="2"/>
    <d v="2024-11-04T00:00:00"/>
    <x v="1"/>
    <n v="10"/>
    <x v="0"/>
    <s v="No"/>
    <s v="-"/>
    <s v="Yes"/>
    <n v="20"/>
    <x v="2"/>
    <n v="10"/>
    <n v="20"/>
  </r>
  <r>
    <n v="3484"/>
    <s v="Patrícia Lima"/>
    <x v="1"/>
    <d v="2024-11-05T00:00:00"/>
    <x v="0"/>
    <n v="5"/>
    <x v="2"/>
    <s v="No"/>
    <s v="-"/>
    <s v="No"/>
    <n v="0"/>
    <x v="1"/>
    <n v="0"/>
    <n v="5"/>
  </r>
  <r>
    <n v="3485"/>
    <s v="Quirino Neto"/>
    <x v="0"/>
    <d v="2024-11-06T00:00:00"/>
    <x v="1"/>
    <n v="15"/>
    <x v="0"/>
    <s v="Yes"/>
    <n v="30"/>
    <s v="Yes"/>
    <n v="20"/>
    <x v="0"/>
    <n v="15"/>
    <n v="50"/>
  </r>
  <r>
    <n v="3486"/>
    <s v="Rafaela Souza"/>
    <x v="1"/>
    <d v="2024-11-07T00:00:00"/>
    <x v="0"/>
    <n v="5"/>
    <x v="0"/>
    <s v="No"/>
    <s v="-"/>
    <s v="No"/>
    <n v="0"/>
    <x v="1"/>
    <n v="0"/>
    <n v="5"/>
  </r>
  <r>
    <n v="3487"/>
    <s v="Sandro Almeida"/>
    <x v="0"/>
    <d v="2024-11-08T00:00:00"/>
    <x v="1"/>
    <n v="15"/>
    <x v="2"/>
    <s v="Yes"/>
    <n v="30"/>
    <s v="Yes"/>
    <n v="20"/>
    <x v="0"/>
    <n v="7"/>
    <n v="58"/>
  </r>
  <r>
    <n v="3488"/>
    <s v="Tânia Ribeiro"/>
    <x v="2"/>
    <d v="2024-11-09T00:00:00"/>
    <x v="0"/>
    <n v="10"/>
    <x v="1"/>
    <s v="No"/>
    <s v="-"/>
    <s v="Yes"/>
    <n v="20"/>
    <x v="2"/>
    <n v="10"/>
    <n v="20"/>
  </r>
  <r>
    <n v="3489"/>
    <s v="Ugo Dias"/>
    <x v="1"/>
    <d v="2024-11-10T00:00:00"/>
    <x v="1"/>
    <n v="5"/>
    <x v="2"/>
    <s v="No"/>
    <s v="-"/>
    <s v="No"/>
    <n v="0"/>
    <x v="1"/>
    <n v="1"/>
    <n v="4"/>
  </r>
  <r>
    <n v="3490"/>
    <s v="Valéria Lima"/>
    <x v="0"/>
    <d v="2024-11-11T00:00:00"/>
    <x v="0"/>
    <n v="15"/>
    <x v="0"/>
    <s v="Yes"/>
    <n v="30"/>
    <s v="Yes"/>
    <n v="20"/>
    <x v="0"/>
    <n v="15"/>
    <n v="50"/>
  </r>
  <r>
    <n v="3491"/>
    <s v="William Fernandes"/>
    <x v="2"/>
    <d v="2024-11-12T00:00:00"/>
    <x v="1"/>
    <n v="10"/>
    <x v="0"/>
    <s v="No"/>
    <s v="-"/>
    <s v="Yes"/>
    <n v="20"/>
    <x v="2"/>
    <n v="5"/>
    <n v="25"/>
  </r>
  <r>
    <n v="3492"/>
    <s v="Xuxa Mendes"/>
    <x v="1"/>
    <d v="2024-11-13T00:00:00"/>
    <x v="0"/>
    <n v="5"/>
    <x v="1"/>
    <s v="No"/>
    <s v="-"/>
    <s v="No"/>
    <n v="0"/>
    <x v="1"/>
    <n v="0"/>
    <n v="5"/>
  </r>
  <r>
    <n v="3493"/>
    <s v="Ygor Farias"/>
    <x v="0"/>
    <d v="2024-11-14T00:00:00"/>
    <x v="1"/>
    <n v="15"/>
    <x v="2"/>
    <s v="Yes"/>
    <n v="30"/>
    <s v="Yes"/>
    <n v="20"/>
    <x v="0"/>
    <n v="20"/>
    <n v="45"/>
  </r>
  <r>
    <n v="3494"/>
    <s v="Zilda Barros"/>
    <x v="2"/>
    <d v="2024-11-15T00:00:00"/>
    <x v="0"/>
    <n v="10"/>
    <x v="2"/>
    <s v="No"/>
    <s v="-"/>
    <s v="Yes"/>
    <n v="20"/>
    <x v="2"/>
    <n v="12"/>
    <n v="18"/>
  </r>
  <r>
    <n v="3495"/>
    <s v="Amanda Santos"/>
    <x v="1"/>
    <d v="2024-11-16T00:00:00"/>
    <x v="1"/>
    <n v="5"/>
    <x v="0"/>
    <s v="No"/>
    <s v="-"/>
    <s v="No"/>
    <n v="0"/>
    <x v="1"/>
    <n v="2"/>
    <n v="3"/>
  </r>
  <r>
    <n v="3496"/>
    <s v="Bruno Costa"/>
    <x v="0"/>
    <d v="2024-11-17T00:00:00"/>
    <x v="0"/>
    <n v="15"/>
    <x v="1"/>
    <s v="Yes"/>
    <n v="30"/>
    <s v="Yes"/>
    <n v="20"/>
    <x v="0"/>
    <n v="5"/>
    <n v="60"/>
  </r>
  <r>
    <n v="3497"/>
    <s v="Carla Rodrigues"/>
    <x v="2"/>
    <d v="2024-11-18T00:00:00"/>
    <x v="1"/>
    <n v="10"/>
    <x v="0"/>
    <s v="No"/>
    <s v="-"/>
    <s v="Yes"/>
    <n v="20"/>
    <x v="2"/>
    <n v="10"/>
    <n v="20"/>
  </r>
  <r>
    <n v="3498"/>
    <s v="Diogo Pereira"/>
    <x v="1"/>
    <d v="2024-11-19T00:00:00"/>
    <x v="0"/>
    <n v="5"/>
    <x v="2"/>
    <s v="No"/>
    <s v="-"/>
    <s v="No"/>
    <n v="0"/>
    <x v="1"/>
    <n v="0"/>
    <n v="5"/>
  </r>
  <r>
    <n v="3499"/>
    <s v="Elisa Correia"/>
    <x v="0"/>
    <d v="2024-11-20T00:00:00"/>
    <x v="1"/>
    <n v="15"/>
    <x v="0"/>
    <s v="Yes"/>
    <n v="30"/>
    <s v="Yes"/>
    <n v="20"/>
    <x v="0"/>
    <n v="3"/>
    <n v="62"/>
  </r>
  <r>
    <n v="3500"/>
    <s v="Fábio Lourenço"/>
    <x v="2"/>
    <d v="2024-11-21T00:00:00"/>
    <x v="0"/>
    <n v="10"/>
    <x v="1"/>
    <s v="No"/>
    <s v="-"/>
    <s v="Yes"/>
    <n v="20"/>
    <x v="2"/>
    <n v="15"/>
    <n v="15"/>
  </r>
  <r>
    <n v="3501"/>
    <s v="Gabriela Neves"/>
    <x v="1"/>
    <d v="2024-11-22T00:00:00"/>
    <x v="1"/>
    <n v="5"/>
    <x v="0"/>
    <s v="No"/>
    <s v="-"/>
    <s v="No"/>
    <n v="0"/>
    <x v="1"/>
    <n v="1"/>
    <n v="4"/>
  </r>
  <r>
    <n v="3502"/>
    <s v="Henrique Gonçalves"/>
    <x v="0"/>
    <d v="2024-11-23T00:00:00"/>
    <x v="0"/>
    <n v="15"/>
    <x v="2"/>
    <s v="Yes"/>
    <n v="30"/>
    <s v="Yes"/>
    <n v="20"/>
    <x v="0"/>
    <n v="7"/>
    <n v="58"/>
  </r>
  <r>
    <n v="3503"/>
    <s v="Íris Santos"/>
    <x v="2"/>
    <d v="2024-11-24T00:00:00"/>
    <x v="1"/>
    <n v="10"/>
    <x v="0"/>
    <s v="No"/>
    <s v="-"/>
    <s v="Yes"/>
    <n v="20"/>
    <x v="2"/>
    <n v="10"/>
    <n v="20"/>
  </r>
  <r>
    <n v="3504"/>
    <s v="João Marcelo Alves"/>
    <x v="1"/>
    <d v="2024-11-25T00:00:00"/>
    <x v="0"/>
    <n v="5"/>
    <x v="1"/>
    <s v="No"/>
    <s v="-"/>
    <s v="No"/>
    <n v="0"/>
    <x v="1"/>
    <n v="0"/>
    <n v="5"/>
  </r>
  <r>
    <n v="3505"/>
    <s v="Klara Fonseca"/>
    <x v="0"/>
    <d v="2024-11-26T00:00:00"/>
    <x v="1"/>
    <n v="15"/>
    <x v="0"/>
    <s v="Yes"/>
    <n v="30"/>
    <s v="Yes"/>
    <n v="20"/>
    <x v="0"/>
    <n v="20"/>
    <n v="45"/>
  </r>
  <r>
    <n v="3506"/>
    <s v="Lucas Mendonça"/>
    <x v="2"/>
    <d v="2024-11-27T00:00:00"/>
    <x v="0"/>
    <n v="10"/>
    <x v="2"/>
    <s v="No"/>
    <s v="-"/>
    <s v="Yes"/>
    <n v="20"/>
    <x v="2"/>
    <n v="15"/>
    <n v="15"/>
  </r>
  <r>
    <n v="3507"/>
    <s v="Marcela Torres"/>
    <x v="1"/>
    <d v="2024-11-28T00:00:00"/>
    <x v="1"/>
    <n v="5"/>
    <x v="0"/>
    <s v="No"/>
    <s v="-"/>
    <s v="No"/>
    <n v="0"/>
    <x v="1"/>
    <n v="1"/>
    <n v="4"/>
  </r>
  <r>
    <n v="3508"/>
    <s v="Natália Castro"/>
    <x v="0"/>
    <d v="2024-11-29T00:00:00"/>
    <x v="0"/>
    <n v="15"/>
    <x v="1"/>
    <s v="Yes"/>
    <n v="30"/>
    <s v="Yes"/>
    <n v="20"/>
    <x v="0"/>
    <n v="3"/>
    <n v="62"/>
  </r>
  <r>
    <n v="3509"/>
    <s v="Oscar Martins"/>
    <x v="2"/>
    <d v="2024-11-30T00:00:00"/>
    <x v="1"/>
    <n v="10"/>
    <x v="0"/>
    <s v="No"/>
    <s v="-"/>
    <s v="Yes"/>
    <n v="20"/>
    <x v="2"/>
    <n v="10"/>
    <n v="20"/>
  </r>
  <r>
    <n v="3510"/>
    <s v="Patrícia Oliveira"/>
    <x v="1"/>
    <d v="2024-12-01T00:00:00"/>
    <x v="0"/>
    <n v="5"/>
    <x v="2"/>
    <s v="No"/>
    <s v="-"/>
    <s v="No"/>
    <n v="0"/>
    <x v="1"/>
    <n v="0"/>
    <n v="5"/>
  </r>
  <r>
    <n v="3511"/>
    <s v="Quentin Nogueira"/>
    <x v="0"/>
    <d v="2024-12-02T00:00:00"/>
    <x v="1"/>
    <n v="15"/>
    <x v="0"/>
    <s v="Yes"/>
    <n v="30"/>
    <s v="Yes"/>
    <n v="20"/>
    <x v="0"/>
    <n v="15"/>
    <n v="50"/>
  </r>
  <r>
    <n v="3512"/>
    <s v="Raquel Silva"/>
    <x v="2"/>
    <d v="2024-12-03T00:00:00"/>
    <x v="0"/>
    <n v="10"/>
    <x v="1"/>
    <s v="No"/>
    <s v="-"/>
    <s v="Yes"/>
    <n v="20"/>
    <x v="2"/>
    <n v="15"/>
    <n v="15"/>
  </r>
  <r>
    <n v="3513"/>
    <s v="Sandro Gomes"/>
    <x v="1"/>
    <d v="2024-12-04T00:00:00"/>
    <x v="1"/>
    <n v="5"/>
    <x v="0"/>
    <s v="No"/>
    <s v="-"/>
    <s v="No"/>
    <n v="0"/>
    <x v="1"/>
    <n v="1"/>
    <n v="4"/>
  </r>
  <r>
    <n v="3514"/>
    <s v="Tânia Machado"/>
    <x v="0"/>
    <d v="2024-12-05T00:00:00"/>
    <x v="0"/>
    <n v="15"/>
    <x v="2"/>
    <s v="Yes"/>
    <n v="30"/>
    <s v="Yes"/>
    <n v="20"/>
    <x v="0"/>
    <n v="7"/>
    <n v="58"/>
  </r>
  <r>
    <n v="3515"/>
    <s v="Ursula Silva"/>
    <x v="2"/>
    <d v="2024-12-06T00:00:00"/>
    <x v="1"/>
    <n v="10"/>
    <x v="0"/>
    <s v="No"/>
    <s v="-"/>
    <s v="Yes"/>
    <n v="20"/>
    <x v="2"/>
    <n v="10"/>
    <n v="20"/>
  </r>
  <r>
    <n v="3516"/>
    <s v="Vanessa Moraes"/>
    <x v="1"/>
    <d v="2024-12-07T00:00:00"/>
    <x v="0"/>
    <n v="5"/>
    <x v="1"/>
    <s v="No"/>
    <s v="-"/>
    <s v="No"/>
    <n v="0"/>
    <x v="1"/>
    <n v="0"/>
    <n v="5"/>
  </r>
  <r>
    <n v="3517"/>
    <s v="William Carvalho"/>
    <x v="0"/>
    <d v="2024-12-08T00:00:00"/>
    <x v="1"/>
    <n v="15"/>
    <x v="0"/>
    <s v="Yes"/>
    <n v="30"/>
    <s v="Yes"/>
    <n v="20"/>
    <x v="0"/>
    <n v="20"/>
    <n v="45"/>
  </r>
  <r>
    <n v="3518"/>
    <s v="Xavier Reis"/>
    <x v="2"/>
    <d v="2024-12-09T00:00:00"/>
    <x v="0"/>
    <n v="10"/>
    <x v="2"/>
    <s v="No"/>
    <s v="-"/>
    <s v="Yes"/>
    <n v="20"/>
    <x v="2"/>
    <n v="12"/>
    <n v="18"/>
  </r>
  <r>
    <n v="3519"/>
    <s v="Yasmin Rocha"/>
    <x v="1"/>
    <d v="2024-12-10T00:00:00"/>
    <x v="1"/>
    <n v="5"/>
    <x v="0"/>
    <s v="No"/>
    <s v="-"/>
    <s v="No"/>
    <n v="0"/>
    <x v="1"/>
    <n v="2"/>
    <n v="3"/>
  </r>
  <r>
    <n v="3520"/>
    <s v="Zacarias Duarte"/>
    <x v="0"/>
    <d v="2024-12-11T00:00:00"/>
    <x v="0"/>
    <n v="15"/>
    <x v="1"/>
    <s v="Yes"/>
    <n v="30"/>
    <s v="Yes"/>
    <n v="20"/>
    <x v="0"/>
    <n v="5"/>
    <n v="60"/>
  </r>
  <r>
    <n v="3521"/>
    <s v="Amanda Freitas"/>
    <x v="2"/>
    <d v="2024-12-12T00:00:00"/>
    <x v="1"/>
    <n v="10"/>
    <x v="0"/>
    <s v="No"/>
    <s v="-"/>
    <s v="Yes"/>
    <n v="20"/>
    <x v="2"/>
    <n v="10"/>
    <n v="20"/>
  </r>
  <r>
    <n v="3522"/>
    <s v="Bruno Almeida"/>
    <x v="1"/>
    <d v="2024-12-13T00:00:00"/>
    <x v="0"/>
    <n v="5"/>
    <x v="2"/>
    <s v="No"/>
    <s v="-"/>
    <s v="No"/>
    <n v="0"/>
    <x v="1"/>
    <n v="0"/>
    <n v="5"/>
  </r>
  <r>
    <n v="3523"/>
    <s v="Carla Siqueira"/>
    <x v="0"/>
    <d v="2024-12-14T00:00:00"/>
    <x v="1"/>
    <n v="15"/>
    <x v="0"/>
    <s v="Yes"/>
    <n v="30"/>
    <s v="Yes"/>
    <n v="20"/>
    <x v="0"/>
    <n v="3"/>
    <n v="62"/>
  </r>
  <r>
    <n v="3524"/>
    <s v="Diogo Ramos"/>
    <x v="2"/>
    <d v="2024-12-15T00:00:00"/>
    <x v="0"/>
    <n v="10"/>
    <x v="1"/>
    <s v="No"/>
    <s v="-"/>
    <s v="Yes"/>
    <n v="20"/>
    <x v="2"/>
    <n v="15"/>
    <n v="15"/>
  </r>
  <r>
    <n v="3525"/>
    <s v="Elisa Magalhães"/>
    <x v="1"/>
    <d v="2024-12-16T00:00:00"/>
    <x v="1"/>
    <n v="5"/>
    <x v="0"/>
    <s v="No"/>
    <s v="-"/>
    <s v="No"/>
    <n v="0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66042-D4A6-4E2F-8460-A0DC054A975F}" name="Tabela_Impacto_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3:J17" firstHeaderRow="0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dataField="1" numFmtId="44"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Subscription Price" fld="5" baseField="0" baseItem="0" numFmtId="44"/>
    <dataField name="Soma de Coupon Value" fld="12" baseField="0" baseItem="0" numFmtId="44"/>
    <dataField name="Soma de Total Value" fld="13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A4377-0E47-4BF3-9A73-B1B9A5792E6A}" name="Tabela_renovacao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5:E20" firstHeaderRow="1" firstDataRow="2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Col" dataField="1" multipleItemSelectionAllowe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Auto Renewal" fld="4" subtotal="count" baseField="0" baseItem="0"/>
  </dataFields>
  <formats count="1">
    <format dxfId="28">
      <pivotArea outline="0" collapsedLevelsAreSubtotals="1" fieldPosition="0"/>
    </format>
  </format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9A49B-1ABD-42C4-AF00-359C8EC3DFEA}" name="Tabela_receita_simples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4:N5" firstHeaderRow="1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dataField="1" numFmtId="44" showAll="0"/>
    <pivotField dragToRow="0" dragToCol="0" dragToPage="0" showAll="0" defaultSubtotal="0"/>
  </pivotFields>
  <rowItems count="1">
    <i/>
  </rowItems>
  <colItems count="1">
    <i/>
  </colItems>
  <dataFields count="1">
    <dataField name="Soma de Total Value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0FEAB-8451-4B42-9C51-CB08FC56635B}" name="Tabela_Receita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G4:K5" firstHeaderRow="0" firstDataRow="1" firstDataCol="0" rowPageCount="1" colPageCount="1"/>
  <pivotFields count="15">
    <pivotField showAll="0"/>
    <pivotField showAll="0"/>
    <pivotField axis="axisPage" multipleItemSelectionAllowed="1" showAll="0">
      <items count="4">
        <item sd="0" x="1"/>
        <item sd="0" x="2"/>
        <item sd="0" x="0"/>
        <item t="default"/>
      </items>
    </pivotField>
    <pivotField numFmtId="14" showAll="0"/>
    <pivotField showAll="0"/>
    <pivotField dataField="1" numFmtId="44" showAll="0"/>
    <pivotField showAll="0"/>
    <pivotField showAll="0"/>
    <pivotField dataField="1" showAll="0"/>
    <pivotField showAll="0"/>
    <pivotField dataField="1" numFmtId="44" showAll="0"/>
    <pivotField numFmtId="44" showAll="0"/>
    <pivotField dataField="1" numFmtId="44" showAll="0"/>
    <pivotField dataField="1" numFmtId="44" showAll="0"/>
    <pivotField dragToRow="0" dragToCol="0" dragToPage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hier="-1"/>
  </pageFields>
  <dataFields count="5">
    <dataField name="Soma de Subscription Price" fld="5" baseField="0" baseItem="0" numFmtId="44"/>
    <dataField name="Soma de EA Play Season Pass" fld="8" baseField="5" baseItem="0"/>
    <dataField name="Soma de Minecraft Season Pass Price" fld="10" baseField="0" baseItem="0" numFmtId="44"/>
    <dataField name="Total de cupom de desconto" fld="12" baseField="2" baseItem="0" numFmtId="44"/>
    <dataField name="Soma de Total Value" fld="13" baseField="0" baseItem="0" numFmtId="44"/>
  </dataFields>
  <formats count="2">
    <format dxfId="30">
      <pivotArea field="5" grandRow="1" outline="0" collapsedLevelsAreSubtotals="1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chartFormats count="5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1CCB7-CE7D-4F95-9D76-7E956E85778B}" name="Tabela_impacto_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G22:J26" firstHeaderRow="0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>
      <items count="4">
        <item x="1"/>
        <item x="2"/>
        <item x="0"/>
        <item t="default"/>
      </items>
    </pivotField>
    <pivotField dataField="1" numFmtId="44" showAll="0"/>
    <pivotField dataField="1" numFmtId="44" showAl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Coupon Value" fld="12" baseField="0" baseItem="0" numFmtId="44"/>
    <dataField name="Soma de Total Value" fld="13" baseField="0" baseItem="0" numFmtId="44"/>
    <dataField name="Soma de Porcentagem" fld="14" baseField="0" baseItem="0" numFmtId="10"/>
  </dataFields>
  <formats count="1"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C8584-DB40-4CA1-B9FC-4BBBEE3D5292}" name="Tabela _volume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4:C8" firstHeaderRow="1" firstDataRow="1" firstDataCol="1" rowPageCount="1" colPageCount="1"/>
  <pivotFields count="15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Plan" fld="2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6A4C7D0-8585-47E7-A496-9A238088E364}" sourceName="Subscription Type">
  <pivotTables>
    <pivotTable tabId="3" name="Tabela _volume"/>
  </pivotTables>
  <data>
    <tabular pivotCacheId="1286012454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2A2D7805-BBEF-4308-B712-E15AB93BECBD}" sourceName="Auto Renewal">
  <pivotTables>
    <pivotTable tabId="3" name="Tabela_renovacao"/>
  </pivotTables>
  <data>
    <tabular pivotCacheId="1286012454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BB0F946-CBD2-4BBF-B4FD-D0C9C2CECB0F}" sourceName="Plan">
  <pivotTables>
    <pivotTable tabId="3" name="Tabela_Receita"/>
    <pivotTable tabId="3" name="Tabela_receita_simples"/>
  </pivotTables>
  <data>
    <tabular pivotCacheId="1286012454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73DF7885-D5BE-4C36-A783-C50460CC36AB}" sourceName="Plan">
  <pivotTables>
    <pivotTable tabId="3" name="Tabela_impacto_2"/>
  </pivotTables>
  <data>
    <tabular pivotCacheId="1286012454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E240452-8DCA-4A24-84BC-5F44C8BB99D2}" cache="SegmentaçãodeDados_Subscription_Type" caption="Subscription Type" style="SlicerStyleDark6 2" rowHeight="251883"/>
  <slicer name="Auto Renewal" xr10:uid="{861C48EE-2351-4ED7-9872-3E96EAE0EE49}" cache="SegmentaçãodeDados_Auto_Renewal" caption="Auto Renewal" style="SlicerStyleDark6 2" rowHeight="251883"/>
  <slicer name="Plan" xr10:uid="{8FE2BC4E-D5F1-4D44-B00F-6822CA8CCFF3}" cache="SegmentaçãodeDados_Plan" caption="Plan" style="SlicerStyleDark6 2" rowHeight="251883"/>
  <slicer name="Plan 1" xr10:uid="{4346E748-1CE5-4B59-B051-603EFA7EB7EB}" cache="SegmentaçãodeDados_Plan1" caption="Plan" style="SlicerStyleDark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45">
  <autoFilter ref="A1:N296" xr:uid="{34E0E886-4200-4B36-97B3-63DB74FF40A0}"/>
  <tableColumns count="14">
    <tableColumn id="1" xr3:uid="{C4A90516-688A-46BF-9167-EA16C2A8A652}" name="Subscriber ID" dataDxfId="44"/>
    <tableColumn id="2" xr3:uid="{53DD39D0-2220-4121-9E9D-4EAA7E151C0F}" name="Name" dataDxfId="43"/>
    <tableColumn id="3" xr3:uid="{4F5FF271-4C57-4BE0-8F2C-F82C8551625C}" name="Plan" dataDxfId="42"/>
    <tableColumn id="4" xr3:uid="{8C17EB93-79B9-4E55-B8F7-BEB82F8253E9}" name="Start Date" dataDxfId="41"/>
    <tableColumn id="5" xr3:uid="{48CEDF9B-1689-482A-A828-5CCE7713264A}" name="Auto Renewal" dataDxfId="40"/>
    <tableColumn id="6" xr3:uid="{78B82374-9AA7-4E38-AE4F-78CDE6C83720}" name="Subscription Price" dataDxfId="39" dataCellStyle="Moeda"/>
    <tableColumn id="7" xr3:uid="{F2433F68-AF33-49D0-B1FB-19A396074EDE}" name="Subscription Type" dataDxfId="38"/>
    <tableColumn id="8" xr3:uid="{FD4D9C95-F6E5-4933-9068-A71FF7DF9343}" name="EA Play Season Pass" dataDxfId="37"/>
    <tableColumn id="13" xr3:uid="{978DD0D2-834E-4CE4-A39B-30976086932F}" name="EA Play Season Pass Price" dataDxfId="36" dataCellStyle="Moeda"/>
    <tableColumn id="9" xr3:uid="{6E29F111-C395-4580-9DAD-3407D9E8B1A4}" name="Minecraft Season Pass" dataDxfId="35"/>
    <tableColumn id="10" xr3:uid="{EF544EAA-7F25-4FD5-A10E-8E62804DB9E3}" name="Minecraft Season Pass Price" dataDxfId="34" dataCellStyle="Moeda"/>
    <tableColumn id="15" xr3:uid="{AB2398F6-96AC-4CFE-ABED-77982EF66E14}" name="Soma  sem desconto" dataDxfId="33" dataCellStyle="Moeda">
      <calculatedColumnFormula>SUM(Tabela1[[#This Row],[Subscription Price]],Tabela1[[#This Row],[EA Play Season Pass Price]],Tabela1[[#This Row],[Minecraft Season Pass Price]])</calculatedColumnFormula>
    </tableColumn>
    <tableColumn id="11" xr3:uid="{7F6EB64A-1F07-4E48-9F0F-AC7D9DCD26F8}" name="Coupon Value" dataDxfId="32" dataCellStyle="Moeda"/>
    <tableColumn id="12" xr3:uid="{2B04ABC8-DE6F-426E-ADC0-D8AFC68CA58E}" name="Total Value" dataDxfId="3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R9" sqref="R9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S296"/>
  <sheetViews>
    <sheetView zoomScale="90" zoomScaleNormal="90" workbookViewId="0">
      <selection sqref="A1:N2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6.36328125" bestFit="1" customWidth="1"/>
    <col min="7" max="7" width="22" bestFit="1" customWidth="1"/>
    <col min="8" max="8" width="20.54296875" bestFit="1" customWidth="1"/>
    <col min="9" max="9" width="22.453125" bestFit="1" customWidth="1"/>
    <col min="10" max="10" width="16.7265625" bestFit="1" customWidth="1"/>
    <col min="11" max="11" width="24.54296875" bestFit="1" customWidth="1"/>
    <col min="12" max="12" width="21.26953125" customWidth="1"/>
    <col min="13" max="13" width="12.7265625" bestFit="1" customWidth="1"/>
    <col min="14" max="14" width="10.54296875" bestFit="1" customWidth="1"/>
  </cols>
  <sheetData>
    <row r="1" spans="1:19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331</v>
      </c>
      <c r="J1" s="9" t="s">
        <v>30</v>
      </c>
      <c r="K1" s="9" t="s">
        <v>31</v>
      </c>
      <c r="L1" s="9" t="s">
        <v>328</v>
      </c>
      <c r="M1" s="9" t="s">
        <v>32</v>
      </c>
      <c r="N1" s="9" t="s">
        <v>33</v>
      </c>
    </row>
    <row r="2" spans="1:19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f>SUM(Tabela1[[#This Row],[Subscription Price]],Tabela1[[#This Row],[EA Play Season Pass Price]],Tabela1[[#This Row],[Minecraft Season Pass Price]])</f>
        <v>65</v>
      </c>
      <c r="M2" s="11">
        <v>5</v>
      </c>
      <c r="N2" s="11">
        <v>60</v>
      </c>
    </row>
    <row r="3" spans="1:19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310</v>
      </c>
      <c r="J3" s="8" t="s">
        <v>23</v>
      </c>
      <c r="K3" s="11">
        <v>0</v>
      </c>
      <c r="L3" s="11">
        <f>SUM(Tabela1[[#This Row],[Subscription Price]],Tabela1[[#This Row],[EA Play Season Pass Price]],Tabela1[[#This Row],[Minecraft Season Pass Price]])</f>
        <v>5</v>
      </c>
      <c r="M3" s="11">
        <v>0</v>
      </c>
      <c r="N3" s="11">
        <v>5</v>
      </c>
    </row>
    <row r="4" spans="1:19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310</v>
      </c>
      <c r="J4" s="8" t="s">
        <v>19</v>
      </c>
      <c r="K4" s="11">
        <v>20</v>
      </c>
      <c r="L4" s="11">
        <f>SUM(Tabela1[[#This Row],[Subscription Price]],Tabela1[[#This Row],[EA Play Season Pass Price]],Tabela1[[#This Row],[Minecraft Season Pass Price]])</f>
        <v>30</v>
      </c>
      <c r="M4" s="11">
        <v>10</v>
      </c>
      <c r="N4" s="11">
        <v>20</v>
      </c>
      <c r="S4">
        <f>65/5</f>
        <v>13</v>
      </c>
    </row>
    <row r="5" spans="1:19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f>SUM(Tabela1[[#This Row],[Subscription Price]],Tabela1[[#This Row],[EA Play Season Pass Price]],Tabela1[[#This Row],[Minecraft Season Pass Price]])</f>
        <v>65</v>
      </c>
      <c r="M5" s="11">
        <v>3</v>
      </c>
      <c r="N5" s="11">
        <v>62</v>
      </c>
      <c r="S5" s="30">
        <f>5/65</f>
        <v>7.6923076923076927E-2</v>
      </c>
    </row>
    <row r="6" spans="1:19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310</v>
      </c>
      <c r="J6" s="8" t="s">
        <v>23</v>
      </c>
      <c r="K6" s="11">
        <v>0</v>
      </c>
      <c r="L6" s="11">
        <f>SUM(Tabela1[[#This Row],[Subscription Price]],Tabela1[[#This Row],[EA Play Season Pass Price]],Tabela1[[#This Row],[Minecraft Season Pass Price]])</f>
        <v>5</v>
      </c>
      <c r="M6" s="11">
        <v>1</v>
      </c>
      <c r="N6" s="11">
        <v>4</v>
      </c>
    </row>
    <row r="7" spans="1:19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310</v>
      </c>
      <c r="J7" s="8" t="s">
        <v>19</v>
      </c>
      <c r="K7" s="11">
        <v>20</v>
      </c>
      <c r="L7" s="11">
        <f>SUM(Tabela1[[#This Row],[Subscription Price]],Tabela1[[#This Row],[EA Play Season Pass Price]],Tabela1[[#This Row],[Minecraft Season Pass Price]])</f>
        <v>30</v>
      </c>
      <c r="M7" s="11">
        <v>2</v>
      </c>
      <c r="N7" s="11">
        <v>28</v>
      </c>
    </row>
    <row r="8" spans="1:19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f>SUM(Tabela1[[#This Row],[Subscription Price]],Tabela1[[#This Row],[EA Play Season Pass Price]],Tabela1[[#This Row],[Minecraft Season Pass Price]])</f>
        <v>65</v>
      </c>
      <c r="M8" s="11">
        <v>10</v>
      </c>
      <c r="N8" s="11">
        <v>55</v>
      </c>
    </row>
    <row r="9" spans="1:19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310</v>
      </c>
      <c r="J9" s="8" t="s">
        <v>23</v>
      </c>
      <c r="K9" s="11">
        <v>0</v>
      </c>
      <c r="L9" s="11">
        <f>SUM(Tabela1[[#This Row],[Subscription Price]],Tabela1[[#This Row],[EA Play Season Pass Price]],Tabela1[[#This Row],[Minecraft Season Pass Price]])</f>
        <v>5</v>
      </c>
      <c r="M9" s="11">
        <v>0</v>
      </c>
      <c r="N9" s="11">
        <v>5</v>
      </c>
    </row>
    <row r="10" spans="1:19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f>SUM(Tabela1[[#This Row],[Subscription Price]],Tabela1[[#This Row],[EA Play Season Pass Price]],Tabela1[[#This Row],[Minecraft Season Pass Price]])</f>
        <v>65</v>
      </c>
      <c r="M10" s="11">
        <v>5</v>
      </c>
      <c r="N10" s="11">
        <v>60</v>
      </c>
    </row>
    <row r="11" spans="1:19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310</v>
      </c>
      <c r="J11" s="8" t="s">
        <v>19</v>
      </c>
      <c r="K11" s="11">
        <v>20</v>
      </c>
      <c r="L11" s="11">
        <f>SUM(Tabela1[[#This Row],[Subscription Price]],Tabela1[[#This Row],[EA Play Season Pass Price]],Tabela1[[#This Row],[Minecraft Season Pass Price]])</f>
        <v>30</v>
      </c>
      <c r="M11" s="11">
        <v>15</v>
      </c>
      <c r="N11" s="11">
        <v>15</v>
      </c>
    </row>
    <row r="12" spans="1:19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310</v>
      </c>
      <c r="J12" s="8" t="s">
        <v>23</v>
      </c>
      <c r="K12" s="11">
        <v>0</v>
      </c>
      <c r="L12" s="11">
        <f>SUM(Tabela1[[#This Row],[Subscription Price]],Tabela1[[#This Row],[EA Play Season Pass Price]],Tabela1[[#This Row],[Minecraft Season Pass Price]])</f>
        <v>5</v>
      </c>
      <c r="M12" s="11">
        <v>1</v>
      </c>
      <c r="N12" s="11">
        <v>4</v>
      </c>
    </row>
    <row r="13" spans="1:19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f>SUM(Tabela1[[#This Row],[Subscription Price]],Tabela1[[#This Row],[EA Play Season Pass Price]],Tabela1[[#This Row],[Minecraft Season Pass Price]])</f>
        <v>65</v>
      </c>
      <c r="M13" s="11">
        <v>20</v>
      </c>
      <c r="N13" s="11">
        <v>45</v>
      </c>
    </row>
    <row r="14" spans="1:19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310</v>
      </c>
      <c r="J14" s="8" t="s">
        <v>19</v>
      </c>
      <c r="K14" s="11">
        <v>20</v>
      </c>
      <c r="L14" s="11">
        <f>SUM(Tabela1[[#This Row],[Subscription Price]],Tabela1[[#This Row],[EA Play Season Pass Price]],Tabela1[[#This Row],[Minecraft Season Pass Price]])</f>
        <v>30</v>
      </c>
      <c r="M14" s="11">
        <v>10</v>
      </c>
      <c r="N14" s="11">
        <v>20</v>
      </c>
    </row>
    <row r="15" spans="1:19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310</v>
      </c>
      <c r="J15" s="8" t="s">
        <v>23</v>
      </c>
      <c r="K15" s="11">
        <v>0</v>
      </c>
      <c r="L15" s="11">
        <f>SUM(Tabela1[[#This Row],[Subscription Price]],Tabela1[[#This Row],[EA Play Season Pass Price]],Tabela1[[#This Row],[Minecraft Season Pass Price]])</f>
        <v>5</v>
      </c>
      <c r="M15" s="11">
        <v>0</v>
      </c>
      <c r="N15" s="11">
        <v>5</v>
      </c>
    </row>
    <row r="16" spans="1:19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f>SUM(Tabela1[[#This Row],[Subscription Price]],Tabela1[[#This Row],[EA Play Season Pass Price]],Tabela1[[#This Row],[Minecraft Season Pass Price]])</f>
        <v>65</v>
      </c>
      <c r="M16" s="11">
        <v>8</v>
      </c>
      <c r="N16" s="11">
        <v>57</v>
      </c>
    </row>
    <row r="17" spans="1:14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310</v>
      </c>
      <c r="J17" s="8" t="s">
        <v>19</v>
      </c>
      <c r="K17" s="11">
        <v>20</v>
      </c>
      <c r="L17" s="11">
        <f>SUM(Tabela1[[#This Row],[Subscription Price]],Tabela1[[#This Row],[EA Play Season Pass Price]],Tabela1[[#This Row],[Minecraft Season Pass Price]])</f>
        <v>30</v>
      </c>
      <c r="M17" s="11">
        <v>12</v>
      </c>
      <c r="N17" s="11">
        <v>18</v>
      </c>
    </row>
    <row r="18" spans="1:14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310</v>
      </c>
      <c r="J18" s="8" t="s">
        <v>23</v>
      </c>
      <c r="K18" s="11">
        <v>0</v>
      </c>
      <c r="L18" s="11">
        <f>SUM(Tabela1[[#This Row],[Subscription Price]],Tabela1[[#This Row],[EA Play Season Pass Price]],Tabela1[[#This Row],[Minecraft Season Pass Price]])</f>
        <v>5</v>
      </c>
      <c r="M18" s="11">
        <v>2</v>
      </c>
      <c r="N18" s="11">
        <v>3</v>
      </c>
    </row>
    <row r="19" spans="1:14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f>SUM(Tabela1[[#This Row],[Subscription Price]],Tabela1[[#This Row],[EA Play Season Pass Price]],Tabela1[[#This Row],[Minecraft Season Pass Price]])</f>
        <v>65</v>
      </c>
      <c r="M19" s="11">
        <v>7</v>
      </c>
      <c r="N19" s="11">
        <v>58</v>
      </c>
    </row>
    <row r="20" spans="1:14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310</v>
      </c>
      <c r="J20" s="8" t="s">
        <v>19</v>
      </c>
      <c r="K20" s="11">
        <v>20</v>
      </c>
      <c r="L20" s="11">
        <f>SUM(Tabela1[[#This Row],[Subscription Price]],Tabela1[[#This Row],[EA Play Season Pass Price]],Tabela1[[#This Row],[Minecraft Season Pass Price]])</f>
        <v>30</v>
      </c>
      <c r="M20" s="11">
        <v>5</v>
      </c>
      <c r="N20" s="11">
        <v>25</v>
      </c>
    </row>
    <row r="21" spans="1:14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310</v>
      </c>
      <c r="J21" s="8" t="s">
        <v>23</v>
      </c>
      <c r="K21" s="11">
        <v>0</v>
      </c>
      <c r="L21" s="11">
        <f>SUM(Tabela1[[#This Row],[Subscription Price]],Tabela1[[#This Row],[EA Play Season Pass Price]],Tabela1[[#This Row],[Minecraft Season Pass Price]])</f>
        <v>5</v>
      </c>
      <c r="M21" s="11">
        <v>0</v>
      </c>
      <c r="N21" s="11">
        <v>5</v>
      </c>
    </row>
    <row r="22" spans="1:14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f>SUM(Tabela1[[#This Row],[Subscription Price]],Tabela1[[#This Row],[EA Play Season Pass Price]],Tabela1[[#This Row],[Minecraft Season Pass Price]])</f>
        <v>65</v>
      </c>
      <c r="M22" s="11">
        <v>3</v>
      </c>
      <c r="N22" s="11">
        <v>62</v>
      </c>
    </row>
    <row r="23" spans="1:14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310</v>
      </c>
      <c r="J23" s="8" t="s">
        <v>19</v>
      </c>
      <c r="K23" s="11">
        <v>20</v>
      </c>
      <c r="L23" s="11">
        <f>SUM(Tabela1[[#This Row],[Subscription Price]],Tabela1[[#This Row],[EA Play Season Pass Price]],Tabela1[[#This Row],[Minecraft Season Pass Price]])</f>
        <v>30</v>
      </c>
      <c r="M23" s="11">
        <v>15</v>
      </c>
      <c r="N23" s="11">
        <v>15</v>
      </c>
    </row>
    <row r="24" spans="1:14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310</v>
      </c>
      <c r="J24" s="8" t="s">
        <v>23</v>
      </c>
      <c r="K24" s="11">
        <v>0</v>
      </c>
      <c r="L24" s="11">
        <f>SUM(Tabela1[[#This Row],[Subscription Price]],Tabela1[[#This Row],[EA Play Season Pass Price]],Tabela1[[#This Row],[Minecraft Season Pass Price]])</f>
        <v>5</v>
      </c>
      <c r="M24" s="11">
        <v>1</v>
      </c>
      <c r="N24" s="11">
        <v>4</v>
      </c>
    </row>
    <row r="25" spans="1:14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f>SUM(Tabela1[[#This Row],[Subscription Price]],Tabela1[[#This Row],[EA Play Season Pass Price]],Tabela1[[#This Row],[Minecraft Season Pass Price]])</f>
        <v>65</v>
      </c>
      <c r="M25" s="11">
        <v>20</v>
      </c>
      <c r="N25" s="11">
        <v>45</v>
      </c>
    </row>
    <row r="26" spans="1:14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310</v>
      </c>
      <c r="J26" s="8" t="s">
        <v>19</v>
      </c>
      <c r="K26" s="11">
        <v>20</v>
      </c>
      <c r="L26" s="11">
        <f>SUM(Tabela1[[#This Row],[Subscription Price]],Tabela1[[#This Row],[EA Play Season Pass Price]],Tabela1[[#This Row],[Minecraft Season Pass Price]])</f>
        <v>30</v>
      </c>
      <c r="M26" s="11">
        <v>10</v>
      </c>
      <c r="N26" s="11">
        <v>20</v>
      </c>
    </row>
    <row r="27" spans="1:14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310</v>
      </c>
      <c r="J27" s="8" t="s">
        <v>23</v>
      </c>
      <c r="K27" s="11">
        <v>0</v>
      </c>
      <c r="L27" s="11">
        <f>SUM(Tabela1[[#This Row],[Subscription Price]],Tabela1[[#This Row],[EA Play Season Pass Price]],Tabela1[[#This Row],[Minecraft Season Pass Price]])</f>
        <v>5</v>
      </c>
      <c r="M27" s="11">
        <v>0</v>
      </c>
      <c r="N27" s="11">
        <v>5</v>
      </c>
    </row>
    <row r="28" spans="1:14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f>SUM(Tabela1[[#This Row],[Subscription Price]],Tabela1[[#This Row],[EA Play Season Pass Price]],Tabela1[[#This Row],[Minecraft Season Pass Price]])</f>
        <v>65</v>
      </c>
      <c r="M28" s="11">
        <v>5</v>
      </c>
      <c r="N28" s="11">
        <v>60</v>
      </c>
    </row>
    <row r="29" spans="1:14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310</v>
      </c>
      <c r="J29" s="8" t="s">
        <v>19</v>
      </c>
      <c r="K29" s="11">
        <v>20</v>
      </c>
      <c r="L29" s="11">
        <f>SUM(Tabela1[[#This Row],[Subscription Price]],Tabela1[[#This Row],[EA Play Season Pass Price]],Tabela1[[#This Row],[Minecraft Season Pass Price]])</f>
        <v>30</v>
      </c>
      <c r="M29" s="11">
        <v>15</v>
      </c>
      <c r="N29" s="11">
        <v>15</v>
      </c>
    </row>
    <row r="30" spans="1:14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310</v>
      </c>
      <c r="J30" s="8" t="s">
        <v>23</v>
      </c>
      <c r="K30" s="11">
        <v>0</v>
      </c>
      <c r="L30" s="11">
        <f>SUM(Tabela1[[#This Row],[Subscription Price]],Tabela1[[#This Row],[EA Play Season Pass Price]],Tabela1[[#This Row],[Minecraft Season Pass Price]])</f>
        <v>5</v>
      </c>
      <c r="M30" s="11">
        <v>1</v>
      </c>
      <c r="N30" s="11">
        <v>4</v>
      </c>
    </row>
    <row r="31" spans="1:14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f>SUM(Tabela1[[#This Row],[Subscription Price]],Tabela1[[#This Row],[EA Play Season Pass Price]],Tabela1[[#This Row],[Minecraft Season Pass Price]])</f>
        <v>65</v>
      </c>
      <c r="M31" s="11">
        <v>7</v>
      </c>
      <c r="N31" s="11">
        <v>58</v>
      </c>
    </row>
    <row r="32" spans="1:14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310</v>
      </c>
      <c r="J32" s="8" t="s">
        <v>19</v>
      </c>
      <c r="K32" s="11">
        <v>20</v>
      </c>
      <c r="L32" s="11">
        <f>SUM(Tabela1[[#This Row],[Subscription Price]],Tabela1[[#This Row],[EA Play Season Pass Price]],Tabela1[[#This Row],[Minecraft Season Pass Price]])</f>
        <v>30</v>
      </c>
      <c r="M32" s="11">
        <v>10</v>
      </c>
      <c r="N32" s="11">
        <v>20</v>
      </c>
    </row>
    <row r="33" spans="1:14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310</v>
      </c>
      <c r="J33" s="8" t="s">
        <v>23</v>
      </c>
      <c r="K33" s="11">
        <v>0</v>
      </c>
      <c r="L33" s="11">
        <f>SUM(Tabela1[[#This Row],[Subscription Price]],Tabela1[[#This Row],[EA Play Season Pass Price]],Tabela1[[#This Row],[Minecraft Season Pass Price]])</f>
        <v>5</v>
      </c>
      <c r="M33" s="11">
        <v>0</v>
      </c>
      <c r="N33" s="11">
        <v>5</v>
      </c>
    </row>
    <row r="34" spans="1:14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f>SUM(Tabela1[[#This Row],[Subscription Price]],Tabela1[[#This Row],[EA Play Season Pass Price]],Tabela1[[#This Row],[Minecraft Season Pass Price]])</f>
        <v>65</v>
      </c>
      <c r="M34" s="11">
        <v>3</v>
      </c>
      <c r="N34" s="11">
        <v>62</v>
      </c>
    </row>
    <row r="35" spans="1:14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310</v>
      </c>
      <c r="J35" s="8" t="s">
        <v>19</v>
      </c>
      <c r="K35" s="11">
        <v>20</v>
      </c>
      <c r="L35" s="11">
        <f>SUM(Tabela1[[#This Row],[Subscription Price]],Tabela1[[#This Row],[EA Play Season Pass Price]],Tabela1[[#This Row],[Minecraft Season Pass Price]])</f>
        <v>30</v>
      </c>
      <c r="M35" s="11">
        <v>15</v>
      </c>
      <c r="N35" s="11">
        <v>15</v>
      </c>
    </row>
    <row r="36" spans="1:14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310</v>
      </c>
      <c r="J36" s="8" t="s">
        <v>23</v>
      </c>
      <c r="K36" s="11">
        <v>0</v>
      </c>
      <c r="L36" s="11">
        <f>SUM(Tabela1[[#This Row],[Subscription Price]],Tabela1[[#This Row],[EA Play Season Pass Price]],Tabela1[[#This Row],[Minecraft Season Pass Price]])</f>
        <v>5</v>
      </c>
      <c r="M36" s="11">
        <v>1</v>
      </c>
      <c r="N36" s="11">
        <v>4</v>
      </c>
    </row>
    <row r="37" spans="1:14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310</v>
      </c>
      <c r="J37" s="8" t="s">
        <v>23</v>
      </c>
      <c r="K37" s="11">
        <v>0</v>
      </c>
      <c r="L37" s="11">
        <f>SUM(Tabela1[[#This Row],[Subscription Price]],Tabela1[[#This Row],[EA Play Season Pass Price]],Tabela1[[#This Row],[Minecraft Season Pass Price]])</f>
        <v>5</v>
      </c>
      <c r="M37" s="11">
        <v>0</v>
      </c>
      <c r="N37" s="11">
        <v>5</v>
      </c>
    </row>
    <row r="38" spans="1:14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f>SUM(Tabela1[[#This Row],[Subscription Price]],Tabela1[[#This Row],[EA Play Season Pass Price]],Tabela1[[#This Row],[Minecraft Season Pass Price]])</f>
        <v>65</v>
      </c>
      <c r="M38" s="11">
        <v>7</v>
      </c>
      <c r="N38" s="11">
        <v>58</v>
      </c>
    </row>
    <row r="39" spans="1:14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310</v>
      </c>
      <c r="J39" s="8" t="s">
        <v>19</v>
      </c>
      <c r="K39" s="11">
        <v>20</v>
      </c>
      <c r="L39" s="11">
        <f>SUM(Tabela1[[#This Row],[Subscription Price]],Tabela1[[#This Row],[EA Play Season Pass Price]],Tabela1[[#This Row],[Minecraft Season Pass Price]])</f>
        <v>30</v>
      </c>
      <c r="M39" s="11">
        <v>10</v>
      </c>
      <c r="N39" s="11">
        <v>20</v>
      </c>
    </row>
    <row r="40" spans="1:14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310</v>
      </c>
      <c r="J40" s="8" t="s">
        <v>23</v>
      </c>
      <c r="K40" s="11">
        <v>0</v>
      </c>
      <c r="L40" s="11">
        <f>SUM(Tabela1[[#This Row],[Subscription Price]],Tabela1[[#This Row],[EA Play Season Pass Price]],Tabela1[[#This Row],[Minecraft Season Pass Price]])</f>
        <v>5</v>
      </c>
      <c r="M40" s="11">
        <v>1</v>
      </c>
      <c r="N40" s="11">
        <v>4</v>
      </c>
    </row>
    <row r="41" spans="1:14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f>SUM(Tabela1[[#This Row],[Subscription Price]],Tabela1[[#This Row],[EA Play Season Pass Price]],Tabela1[[#This Row],[Minecraft Season Pass Price]])</f>
        <v>65</v>
      </c>
      <c r="M41" s="11">
        <v>15</v>
      </c>
      <c r="N41" s="11">
        <v>50</v>
      </c>
    </row>
    <row r="42" spans="1:14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310</v>
      </c>
      <c r="J42" s="8" t="s">
        <v>19</v>
      </c>
      <c r="K42" s="11">
        <v>20</v>
      </c>
      <c r="L42" s="11">
        <f>SUM(Tabela1[[#This Row],[Subscription Price]],Tabela1[[#This Row],[EA Play Season Pass Price]],Tabela1[[#This Row],[Minecraft Season Pass Price]])</f>
        <v>30</v>
      </c>
      <c r="M42" s="11">
        <v>5</v>
      </c>
      <c r="N42" s="11">
        <v>25</v>
      </c>
    </row>
    <row r="43" spans="1:14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310</v>
      </c>
      <c r="J43" s="8" t="s">
        <v>23</v>
      </c>
      <c r="K43" s="11">
        <v>0</v>
      </c>
      <c r="L43" s="11">
        <f>SUM(Tabela1[[#This Row],[Subscription Price]],Tabela1[[#This Row],[EA Play Season Pass Price]],Tabela1[[#This Row],[Minecraft Season Pass Price]])</f>
        <v>5</v>
      </c>
      <c r="M43" s="11">
        <v>0</v>
      </c>
      <c r="N43" s="11">
        <v>5</v>
      </c>
    </row>
    <row r="44" spans="1:14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f>SUM(Tabela1[[#This Row],[Subscription Price]],Tabela1[[#This Row],[EA Play Season Pass Price]],Tabela1[[#This Row],[Minecraft Season Pass Price]])</f>
        <v>65</v>
      </c>
      <c r="M44" s="11">
        <v>20</v>
      </c>
      <c r="N44" s="11">
        <v>45</v>
      </c>
    </row>
    <row r="45" spans="1:14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310</v>
      </c>
      <c r="J45" s="8" t="s">
        <v>19</v>
      </c>
      <c r="K45" s="11">
        <v>20</v>
      </c>
      <c r="L45" s="11">
        <f>SUM(Tabela1[[#This Row],[Subscription Price]],Tabela1[[#This Row],[EA Play Season Pass Price]],Tabela1[[#This Row],[Minecraft Season Pass Price]])</f>
        <v>30</v>
      </c>
      <c r="M45" s="11">
        <v>12</v>
      </c>
      <c r="N45" s="11">
        <v>18</v>
      </c>
    </row>
    <row r="46" spans="1:14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310</v>
      </c>
      <c r="J46" s="8" t="s">
        <v>23</v>
      </c>
      <c r="K46" s="11">
        <v>0</v>
      </c>
      <c r="L46" s="11">
        <f>SUM(Tabela1[[#This Row],[Subscription Price]],Tabela1[[#This Row],[EA Play Season Pass Price]],Tabela1[[#This Row],[Minecraft Season Pass Price]])</f>
        <v>5</v>
      </c>
      <c r="M46" s="11">
        <v>2</v>
      </c>
      <c r="N46" s="11">
        <v>3</v>
      </c>
    </row>
    <row r="47" spans="1:14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f>SUM(Tabela1[[#This Row],[Subscription Price]],Tabela1[[#This Row],[EA Play Season Pass Price]],Tabela1[[#This Row],[Minecraft Season Pass Price]])</f>
        <v>65</v>
      </c>
      <c r="M47" s="11">
        <v>5</v>
      </c>
      <c r="N47" s="11">
        <v>60</v>
      </c>
    </row>
    <row r="48" spans="1:14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310</v>
      </c>
      <c r="J48" s="8" t="s">
        <v>19</v>
      </c>
      <c r="K48" s="11">
        <v>20</v>
      </c>
      <c r="L48" s="11">
        <f>SUM(Tabela1[[#This Row],[Subscription Price]],Tabela1[[#This Row],[EA Play Season Pass Price]],Tabela1[[#This Row],[Minecraft Season Pass Price]])</f>
        <v>30</v>
      </c>
      <c r="M48" s="11">
        <v>10</v>
      </c>
      <c r="N48" s="11">
        <v>20</v>
      </c>
    </row>
    <row r="49" spans="1:14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310</v>
      </c>
      <c r="J49" s="8" t="s">
        <v>23</v>
      </c>
      <c r="K49" s="11">
        <v>0</v>
      </c>
      <c r="L49" s="11">
        <f>SUM(Tabela1[[#This Row],[Subscription Price]],Tabela1[[#This Row],[EA Play Season Pass Price]],Tabela1[[#This Row],[Minecraft Season Pass Price]])</f>
        <v>5</v>
      </c>
      <c r="M49" s="11">
        <v>0</v>
      </c>
      <c r="N49" s="11">
        <v>5</v>
      </c>
    </row>
    <row r="50" spans="1:14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f>SUM(Tabela1[[#This Row],[Subscription Price]],Tabela1[[#This Row],[EA Play Season Pass Price]],Tabela1[[#This Row],[Minecraft Season Pass Price]])</f>
        <v>65</v>
      </c>
      <c r="M50" s="11">
        <v>3</v>
      </c>
      <c r="N50" s="11">
        <v>62</v>
      </c>
    </row>
    <row r="51" spans="1:14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310</v>
      </c>
      <c r="J51" s="8" t="s">
        <v>19</v>
      </c>
      <c r="K51" s="11">
        <v>20</v>
      </c>
      <c r="L51" s="11">
        <f>SUM(Tabela1[[#This Row],[Subscription Price]],Tabela1[[#This Row],[EA Play Season Pass Price]],Tabela1[[#This Row],[Minecraft Season Pass Price]])</f>
        <v>30</v>
      </c>
      <c r="M51" s="11">
        <v>15</v>
      </c>
      <c r="N51" s="11">
        <v>15</v>
      </c>
    </row>
    <row r="52" spans="1:14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310</v>
      </c>
      <c r="J52" s="8" t="s">
        <v>23</v>
      </c>
      <c r="K52" s="11">
        <v>0</v>
      </c>
      <c r="L52" s="11">
        <f>SUM(Tabela1[[#This Row],[Subscription Price]],Tabela1[[#This Row],[EA Play Season Pass Price]],Tabela1[[#This Row],[Minecraft Season Pass Price]])</f>
        <v>5</v>
      </c>
      <c r="M52" s="11">
        <v>1</v>
      </c>
      <c r="N52" s="11">
        <v>4</v>
      </c>
    </row>
    <row r="53" spans="1:14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f>SUM(Tabela1[[#This Row],[Subscription Price]],Tabela1[[#This Row],[EA Play Season Pass Price]],Tabela1[[#This Row],[Minecraft Season Pass Price]])</f>
        <v>65</v>
      </c>
      <c r="M53" s="11">
        <v>7</v>
      </c>
      <c r="N53" s="11">
        <v>58</v>
      </c>
    </row>
    <row r="54" spans="1:14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310</v>
      </c>
      <c r="J54" s="8" t="s">
        <v>19</v>
      </c>
      <c r="K54" s="11">
        <v>20</v>
      </c>
      <c r="L54" s="11">
        <f>SUM(Tabela1[[#This Row],[Subscription Price]],Tabela1[[#This Row],[EA Play Season Pass Price]],Tabela1[[#This Row],[Minecraft Season Pass Price]])</f>
        <v>30</v>
      </c>
      <c r="M54" s="11">
        <v>10</v>
      </c>
      <c r="N54" s="11">
        <v>20</v>
      </c>
    </row>
    <row r="55" spans="1:14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310</v>
      </c>
      <c r="J55" s="8" t="s">
        <v>23</v>
      </c>
      <c r="K55" s="11">
        <v>0</v>
      </c>
      <c r="L55" s="11">
        <f>SUM(Tabela1[[#This Row],[Subscription Price]],Tabela1[[#This Row],[EA Play Season Pass Price]],Tabela1[[#This Row],[Minecraft Season Pass Price]])</f>
        <v>5</v>
      </c>
      <c r="M55" s="11">
        <v>0</v>
      </c>
      <c r="N55" s="11">
        <v>5</v>
      </c>
    </row>
    <row r="56" spans="1:14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f>SUM(Tabela1[[#This Row],[Subscription Price]],Tabela1[[#This Row],[EA Play Season Pass Price]],Tabela1[[#This Row],[Minecraft Season Pass Price]])</f>
        <v>65</v>
      </c>
      <c r="M56" s="11">
        <v>20</v>
      </c>
      <c r="N56" s="11">
        <v>45</v>
      </c>
    </row>
    <row r="57" spans="1:14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310</v>
      </c>
      <c r="J57" s="8" t="s">
        <v>19</v>
      </c>
      <c r="K57" s="11">
        <v>20</v>
      </c>
      <c r="L57" s="11">
        <f>SUM(Tabela1[[#This Row],[Subscription Price]],Tabela1[[#This Row],[EA Play Season Pass Price]],Tabela1[[#This Row],[Minecraft Season Pass Price]])</f>
        <v>30</v>
      </c>
      <c r="M57" s="11">
        <v>15</v>
      </c>
      <c r="N57" s="11">
        <v>15</v>
      </c>
    </row>
    <row r="58" spans="1:14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310</v>
      </c>
      <c r="J58" s="8" t="s">
        <v>23</v>
      </c>
      <c r="K58" s="11">
        <v>0</v>
      </c>
      <c r="L58" s="11">
        <f>SUM(Tabela1[[#This Row],[Subscription Price]],Tabela1[[#This Row],[EA Play Season Pass Price]],Tabela1[[#This Row],[Minecraft Season Pass Price]])</f>
        <v>5</v>
      </c>
      <c r="M58" s="11">
        <v>1</v>
      </c>
      <c r="N58" s="11">
        <v>4</v>
      </c>
    </row>
    <row r="59" spans="1:14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f>SUM(Tabela1[[#This Row],[Subscription Price]],Tabela1[[#This Row],[EA Play Season Pass Price]],Tabela1[[#This Row],[Minecraft Season Pass Price]])</f>
        <v>65</v>
      </c>
      <c r="M59" s="11">
        <v>3</v>
      </c>
      <c r="N59" s="11">
        <v>62</v>
      </c>
    </row>
    <row r="60" spans="1:14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310</v>
      </c>
      <c r="J60" s="8" t="s">
        <v>19</v>
      </c>
      <c r="K60" s="11">
        <v>20</v>
      </c>
      <c r="L60" s="11">
        <f>SUM(Tabela1[[#This Row],[Subscription Price]],Tabela1[[#This Row],[EA Play Season Pass Price]],Tabela1[[#This Row],[Minecraft Season Pass Price]])</f>
        <v>30</v>
      </c>
      <c r="M60" s="11">
        <v>10</v>
      </c>
      <c r="N60" s="11">
        <v>20</v>
      </c>
    </row>
    <row r="61" spans="1:14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310</v>
      </c>
      <c r="J61" s="8" t="s">
        <v>23</v>
      </c>
      <c r="K61" s="11">
        <v>0</v>
      </c>
      <c r="L61" s="11">
        <f>SUM(Tabela1[[#This Row],[Subscription Price]],Tabela1[[#This Row],[EA Play Season Pass Price]],Tabela1[[#This Row],[Minecraft Season Pass Price]])</f>
        <v>5</v>
      </c>
      <c r="M61" s="11">
        <v>0</v>
      </c>
      <c r="N61" s="11">
        <v>5</v>
      </c>
    </row>
    <row r="62" spans="1:14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f>SUM(Tabela1[[#This Row],[Subscription Price]],Tabela1[[#This Row],[EA Play Season Pass Price]],Tabela1[[#This Row],[Minecraft Season Pass Price]])</f>
        <v>65</v>
      </c>
      <c r="M62" s="11">
        <v>5</v>
      </c>
      <c r="N62" s="11">
        <v>60</v>
      </c>
    </row>
    <row r="63" spans="1:14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310</v>
      </c>
      <c r="J63" s="8" t="s">
        <v>19</v>
      </c>
      <c r="K63" s="11">
        <v>20</v>
      </c>
      <c r="L63" s="11">
        <f>SUM(Tabela1[[#This Row],[Subscription Price]],Tabela1[[#This Row],[EA Play Season Pass Price]],Tabela1[[#This Row],[Minecraft Season Pass Price]])</f>
        <v>30</v>
      </c>
      <c r="M63" s="11">
        <v>15</v>
      </c>
      <c r="N63" s="11">
        <v>15</v>
      </c>
    </row>
    <row r="64" spans="1:14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310</v>
      </c>
      <c r="J64" s="8" t="s">
        <v>23</v>
      </c>
      <c r="K64" s="11">
        <v>0</v>
      </c>
      <c r="L64" s="11">
        <f>SUM(Tabela1[[#This Row],[Subscription Price]],Tabela1[[#This Row],[EA Play Season Pass Price]],Tabela1[[#This Row],[Minecraft Season Pass Price]])</f>
        <v>5</v>
      </c>
      <c r="M64" s="11">
        <v>1</v>
      </c>
      <c r="N64" s="11">
        <v>4</v>
      </c>
    </row>
    <row r="65" spans="1:14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f>SUM(Tabela1[[#This Row],[Subscription Price]],Tabela1[[#This Row],[EA Play Season Pass Price]],Tabela1[[#This Row],[Minecraft Season Pass Price]])</f>
        <v>65</v>
      </c>
      <c r="M65" s="11">
        <v>20</v>
      </c>
      <c r="N65" s="11">
        <v>45</v>
      </c>
    </row>
    <row r="66" spans="1:14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310</v>
      </c>
      <c r="J66" s="8" t="s">
        <v>19</v>
      </c>
      <c r="K66" s="11">
        <v>20</v>
      </c>
      <c r="L66" s="11">
        <f>SUM(Tabela1[[#This Row],[Subscription Price]],Tabela1[[#This Row],[EA Play Season Pass Price]],Tabela1[[#This Row],[Minecraft Season Pass Price]])</f>
        <v>30</v>
      </c>
      <c r="M66" s="11">
        <v>5</v>
      </c>
      <c r="N66" s="11">
        <v>25</v>
      </c>
    </row>
    <row r="67" spans="1:14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310</v>
      </c>
      <c r="J67" s="8" t="s">
        <v>23</v>
      </c>
      <c r="K67" s="11">
        <v>0</v>
      </c>
      <c r="L67" s="11">
        <f>SUM(Tabela1[[#This Row],[Subscription Price]],Tabela1[[#This Row],[EA Play Season Pass Price]],Tabela1[[#This Row],[Minecraft Season Pass Price]])</f>
        <v>5</v>
      </c>
      <c r="M67" s="11">
        <v>0</v>
      </c>
      <c r="N67" s="11">
        <v>5</v>
      </c>
    </row>
    <row r="68" spans="1:14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f>SUM(Tabela1[[#This Row],[Subscription Price]],Tabela1[[#This Row],[EA Play Season Pass Price]],Tabela1[[#This Row],[Minecraft Season Pass Price]])</f>
        <v>65</v>
      </c>
      <c r="M68" s="11">
        <v>7</v>
      </c>
      <c r="N68" s="11">
        <v>58</v>
      </c>
    </row>
    <row r="69" spans="1:14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310</v>
      </c>
      <c r="J69" s="8" t="s">
        <v>19</v>
      </c>
      <c r="K69" s="11">
        <v>20</v>
      </c>
      <c r="L69" s="11">
        <f>SUM(Tabela1[[#This Row],[Subscription Price]],Tabela1[[#This Row],[EA Play Season Pass Price]],Tabela1[[#This Row],[Minecraft Season Pass Price]])</f>
        <v>30</v>
      </c>
      <c r="M69" s="11">
        <v>10</v>
      </c>
      <c r="N69" s="11">
        <v>20</v>
      </c>
    </row>
    <row r="70" spans="1:14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310</v>
      </c>
      <c r="J70" s="8" t="s">
        <v>23</v>
      </c>
      <c r="K70" s="11">
        <v>0</v>
      </c>
      <c r="L70" s="11">
        <f>SUM(Tabela1[[#This Row],[Subscription Price]],Tabela1[[#This Row],[EA Play Season Pass Price]],Tabela1[[#This Row],[Minecraft Season Pass Price]])</f>
        <v>5</v>
      </c>
      <c r="M70" s="11">
        <v>1</v>
      </c>
      <c r="N70" s="11">
        <v>4</v>
      </c>
    </row>
    <row r="71" spans="1:14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f>SUM(Tabela1[[#This Row],[Subscription Price]],Tabela1[[#This Row],[EA Play Season Pass Price]],Tabela1[[#This Row],[Minecraft Season Pass Price]])</f>
        <v>65</v>
      </c>
      <c r="M71" s="11">
        <v>15</v>
      </c>
      <c r="N71" s="11">
        <v>50</v>
      </c>
    </row>
    <row r="72" spans="1:14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310</v>
      </c>
      <c r="J72" s="8" t="s">
        <v>19</v>
      </c>
      <c r="K72" s="11">
        <v>20</v>
      </c>
      <c r="L72" s="11">
        <f>SUM(Tabela1[[#This Row],[Subscription Price]],Tabela1[[#This Row],[EA Play Season Pass Price]],Tabela1[[#This Row],[Minecraft Season Pass Price]])</f>
        <v>30</v>
      </c>
      <c r="M72" s="11">
        <v>5</v>
      </c>
      <c r="N72" s="11">
        <v>25</v>
      </c>
    </row>
    <row r="73" spans="1:14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310</v>
      </c>
      <c r="J73" s="8" t="s">
        <v>23</v>
      </c>
      <c r="K73" s="11">
        <v>0</v>
      </c>
      <c r="L73" s="11">
        <f>SUM(Tabela1[[#This Row],[Subscription Price]],Tabela1[[#This Row],[EA Play Season Pass Price]],Tabela1[[#This Row],[Minecraft Season Pass Price]])</f>
        <v>5</v>
      </c>
      <c r="M73" s="11">
        <v>0</v>
      </c>
      <c r="N73" s="11">
        <v>5</v>
      </c>
    </row>
    <row r="74" spans="1:14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f>SUM(Tabela1[[#This Row],[Subscription Price]],Tabela1[[#This Row],[EA Play Season Pass Price]],Tabela1[[#This Row],[Minecraft Season Pass Price]])</f>
        <v>65</v>
      </c>
      <c r="M74" s="11">
        <v>20</v>
      </c>
      <c r="N74" s="11">
        <v>45</v>
      </c>
    </row>
    <row r="75" spans="1:14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310</v>
      </c>
      <c r="J75" s="8" t="s">
        <v>19</v>
      </c>
      <c r="K75" s="11">
        <v>20</v>
      </c>
      <c r="L75" s="11">
        <f>SUM(Tabela1[[#This Row],[Subscription Price]],Tabela1[[#This Row],[EA Play Season Pass Price]],Tabela1[[#This Row],[Minecraft Season Pass Price]])</f>
        <v>30</v>
      </c>
      <c r="M75" s="11">
        <v>12</v>
      </c>
      <c r="N75" s="11">
        <v>18</v>
      </c>
    </row>
    <row r="76" spans="1:14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310</v>
      </c>
      <c r="J76" s="8" t="s">
        <v>23</v>
      </c>
      <c r="K76" s="11">
        <v>0</v>
      </c>
      <c r="L76" s="11">
        <f>SUM(Tabela1[[#This Row],[Subscription Price]],Tabela1[[#This Row],[EA Play Season Pass Price]],Tabela1[[#This Row],[Minecraft Season Pass Price]])</f>
        <v>5</v>
      </c>
      <c r="M76" s="11">
        <v>2</v>
      </c>
      <c r="N76" s="11">
        <v>3</v>
      </c>
    </row>
    <row r="77" spans="1:14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f>SUM(Tabela1[[#This Row],[Subscription Price]],Tabela1[[#This Row],[EA Play Season Pass Price]],Tabela1[[#This Row],[Minecraft Season Pass Price]])</f>
        <v>65</v>
      </c>
      <c r="M77" s="11">
        <v>5</v>
      </c>
      <c r="N77" s="11">
        <v>60</v>
      </c>
    </row>
    <row r="78" spans="1:14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310</v>
      </c>
      <c r="J78" s="8" t="s">
        <v>19</v>
      </c>
      <c r="K78" s="11">
        <v>20</v>
      </c>
      <c r="L78" s="11">
        <f>SUM(Tabela1[[#This Row],[Subscription Price]],Tabela1[[#This Row],[EA Play Season Pass Price]],Tabela1[[#This Row],[Minecraft Season Pass Price]])</f>
        <v>30</v>
      </c>
      <c r="M78" s="11">
        <v>10</v>
      </c>
      <c r="N78" s="11">
        <v>20</v>
      </c>
    </row>
    <row r="79" spans="1:14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310</v>
      </c>
      <c r="J79" s="8" t="s">
        <v>23</v>
      </c>
      <c r="K79" s="11">
        <v>0</v>
      </c>
      <c r="L79" s="11">
        <f>SUM(Tabela1[[#This Row],[Subscription Price]],Tabela1[[#This Row],[EA Play Season Pass Price]],Tabela1[[#This Row],[Minecraft Season Pass Price]])</f>
        <v>5</v>
      </c>
      <c r="M79" s="11">
        <v>0</v>
      </c>
      <c r="N79" s="11">
        <v>5</v>
      </c>
    </row>
    <row r="80" spans="1:14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f>SUM(Tabela1[[#This Row],[Subscription Price]],Tabela1[[#This Row],[EA Play Season Pass Price]],Tabela1[[#This Row],[Minecraft Season Pass Price]])</f>
        <v>65</v>
      </c>
      <c r="M80" s="11">
        <v>3</v>
      </c>
      <c r="N80" s="11">
        <v>62</v>
      </c>
    </row>
    <row r="81" spans="1:14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310</v>
      </c>
      <c r="J81" s="8" t="s">
        <v>19</v>
      </c>
      <c r="K81" s="11">
        <v>20</v>
      </c>
      <c r="L81" s="11">
        <f>SUM(Tabela1[[#This Row],[Subscription Price]],Tabela1[[#This Row],[EA Play Season Pass Price]],Tabela1[[#This Row],[Minecraft Season Pass Price]])</f>
        <v>30</v>
      </c>
      <c r="M81" s="11">
        <v>15</v>
      </c>
      <c r="N81" s="11">
        <v>15</v>
      </c>
    </row>
    <row r="82" spans="1:14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310</v>
      </c>
      <c r="J82" s="8" t="s">
        <v>23</v>
      </c>
      <c r="K82" s="11">
        <v>0</v>
      </c>
      <c r="L82" s="11">
        <f>SUM(Tabela1[[#This Row],[Subscription Price]],Tabela1[[#This Row],[EA Play Season Pass Price]],Tabela1[[#This Row],[Minecraft Season Pass Price]])</f>
        <v>5</v>
      </c>
      <c r="M82" s="11">
        <v>1</v>
      </c>
      <c r="N82" s="11">
        <v>4</v>
      </c>
    </row>
    <row r="83" spans="1:14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f>SUM(Tabela1[[#This Row],[Subscription Price]],Tabela1[[#This Row],[EA Play Season Pass Price]],Tabela1[[#This Row],[Minecraft Season Pass Price]])</f>
        <v>65</v>
      </c>
      <c r="M83" s="11">
        <v>7</v>
      </c>
      <c r="N83" s="11">
        <v>58</v>
      </c>
    </row>
    <row r="84" spans="1:14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310</v>
      </c>
      <c r="J84" s="8" t="s">
        <v>19</v>
      </c>
      <c r="K84" s="11">
        <v>20</v>
      </c>
      <c r="L84" s="11">
        <f>SUM(Tabela1[[#This Row],[Subscription Price]],Tabela1[[#This Row],[EA Play Season Pass Price]],Tabela1[[#This Row],[Minecraft Season Pass Price]])</f>
        <v>30</v>
      </c>
      <c r="M84" s="11">
        <v>10</v>
      </c>
      <c r="N84" s="11">
        <v>20</v>
      </c>
    </row>
    <row r="85" spans="1:14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310</v>
      </c>
      <c r="J85" s="8" t="s">
        <v>23</v>
      </c>
      <c r="K85" s="11">
        <v>0</v>
      </c>
      <c r="L85" s="11">
        <f>SUM(Tabela1[[#This Row],[Subscription Price]],Tabela1[[#This Row],[EA Play Season Pass Price]],Tabela1[[#This Row],[Minecraft Season Pass Price]])</f>
        <v>5</v>
      </c>
      <c r="M85" s="11">
        <v>0</v>
      </c>
      <c r="N85" s="11">
        <v>5</v>
      </c>
    </row>
    <row r="86" spans="1:14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f>SUM(Tabela1[[#This Row],[Subscription Price]],Tabela1[[#This Row],[EA Play Season Pass Price]],Tabela1[[#This Row],[Minecraft Season Pass Price]])</f>
        <v>65</v>
      </c>
      <c r="M86" s="11">
        <v>20</v>
      </c>
      <c r="N86" s="11">
        <v>45</v>
      </c>
    </row>
    <row r="87" spans="1:14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310</v>
      </c>
      <c r="J87" s="8" t="s">
        <v>19</v>
      </c>
      <c r="K87" s="11">
        <v>20</v>
      </c>
      <c r="L87" s="11">
        <f>SUM(Tabela1[[#This Row],[Subscription Price]],Tabela1[[#This Row],[EA Play Season Pass Price]],Tabela1[[#This Row],[Minecraft Season Pass Price]])</f>
        <v>30</v>
      </c>
      <c r="M87" s="11">
        <v>15</v>
      </c>
      <c r="N87" s="11">
        <v>15</v>
      </c>
    </row>
    <row r="88" spans="1:14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310</v>
      </c>
      <c r="J88" s="8" t="s">
        <v>23</v>
      </c>
      <c r="K88" s="11">
        <v>0</v>
      </c>
      <c r="L88" s="11">
        <f>SUM(Tabela1[[#This Row],[Subscription Price]],Tabela1[[#This Row],[EA Play Season Pass Price]],Tabela1[[#This Row],[Minecraft Season Pass Price]])</f>
        <v>5</v>
      </c>
      <c r="M88" s="11">
        <v>1</v>
      </c>
      <c r="N88" s="11">
        <v>4</v>
      </c>
    </row>
    <row r="89" spans="1:14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f>SUM(Tabela1[[#This Row],[Subscription Price]],Tabela1[[#This Row],[EA Play Season Pass Price]],Tabela1[[#This Row],[Minecraft Season Pass Price]])</f>
        <v>65</v>
      </c>
      <c r="M89" s="11">
        <v>3</v>
      </c>
      <c r="N89" s="11">
        <v>62</v>
      </c>
    </row>
    <row r="90" spans="1:14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310</v>
      </c>
      <c r="J90" s="8" t="s">
        <v>19</v>
      </c>
      <c r="K90" s="11">
        <v>20</v>
      </c>
      <c r="L90" s="11">
        <f>SUM(Tabela1[[#This Row],[Subscription Price]],Tabela1[[#This Row],[EA Play Season Pass Price]],Tabela1[[#This Row],[Minecraft Season Pass Price]])</f>
        <v>30</v>
      </c>
      <c r="M90" s="11">
        <v>10</v>
      </c>
      <c r="N90" s="11">
        <v>20</v>
      </c>
    </row>
    <row r="91" spans="1:14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310</v>
      </c>
      <c r="J91" s="8" t="s">
        <v>23</v>
      </c>
      <c r="K91" s="11">
        <v>0</v>
      </c>
      <c r="L91" s="11">
        <f>SUM(Tabela1[[#This Row],[Subscription Price]],Tabela1[[#This Row],[EA Play Season Pass Price]],Tabela1[[#This Row],[Minecraft Season Pass Price]])</f>
        <v>5</v>
      </c>
      <c r="M91" s="11">
        <v>0</v>
      </c>
      <c r="N91" s="11">
        <v>5</v>
      </c>
    </row>
    <row r="92" spans="1:14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f>SUM(Tabela1[[#This Row],[Subscription Price]],Tabela1[[#This Row],[EA Play Season Pass Price]],Tabela1[[#This Row],[Minecraft Season Pass Price]])</f>
        <v>65</v>
      </c>
      <c r="M92" s="11">
        <v>5</v>
      </c>
      <c r="N92" s="11">
        <v>60</v>
      </c>
    </row>
    <row r="93" spans="1:14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310</v>
      </c>
      <c r="J93" s="8" t="s">
        <v>19</v>
      </c>
      <c r="K93" s="11">
        <v>20</v>
      </c>
      <c r="L93" s="11">
        <f>SUM(Tabela1[[#This Row],[Subscription Price]],Tabela1[[#This Row],[EA Play Season Pass Price]],Tabela1[[#This Row],[Minecraft Season Pass Price]])</f>
        <v>30</v>
      </c>
      <c r="M93" s="11">
        <v>15</v>
      </c>
      <c r="N93" s="11">
        <v>15</v>
      </c>
    </row>
    <row r="94" spans="1:14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310</v>
      </c>
      <c r="J94" s="8" t="s">
        <v>23</v>
      </c>
      <c r="K94" s="11">
        <v>0</v>
      </c>
      <c r="L94" s="11">
        <f>SUM(Tabela1[[#This Row],[Subscription Price]],Tabela1[[#This Row],[EA Play Season Pass Price]],Tabela1[[#This Row],[Minecraft Season Pass Price]])</f>
        <v>5</v>
      </c>
      <c r="M94" s="11">
        <v>1</v>
      </c>
      <c r="N94" s="11">
        <v>4</v>
      </c>
    </row>
    <row r="95" spans="1:14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f>SUM(Tabela1[[#This Row],[Subscription Price]],Tabela1[[#This Row],[EA Play Season Pass Price]],Tabela1[[#This Row],[Minecraft Season Pass Price]])</f>
        <v>65</v>
      </c>
      <c r="M95" s="11">
        <v>20</v>
      </c>
      <c r="N95" s="11">
        <v>45</v>
      </c>
    </row>
    <row r="96" spans="1:14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310</v>
      </c>
      <c r="J96" s="8" t="s">
        <v>19</v>
      </c>
      <c r="K96" s="11">
        <v>20</v>
      </c>
      <c r="L96" s="11">
        <f>SUM(Tabela1[[#This Row],[Subscription Price]],Tabela1[[#This Row],[EA Play Season Pass Price]],Tabela1[[#This Row],[Minecraft Season Pass Price]])</f>
        <v>30</v>
      </c>
      <c r="M96" s="11">
        <v>15</v>
      </c>
      <c r="N96" s="11">
        <v>15</v>
      </c>
    </row>
    <row r="97" spans="1:14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310</v>
      </c>
      <c r="J97" s="8" t="s">
        <v>23</v>
      </c>
      <c r="K97" s="11">
        <v>0</v>
      </c>
      <c r="L97" s="11">
        <f>SUM(Tabela1[[#This Row],[Subscription Price]],Tabela1[[#This Row],[EA Play Season Pass Price]],Tabela1[[#This Row],[Minecraft Season Pass Price]])</f>
        <v>5</v>
      </c>
      <c r="M97" s="11">
        <v>0</v>
      </c>
      <c r="N97" s="11">
        <v>5</v>
      </c>
    </row>
    <row r="98" spans="1:14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f>SUM(Tabela1[[#This Row],[Subscription Price]],Tabela1[[#This Row],[EA Play Season Pass Price]],Tabela1[[#This Row],[Minecraft Season Pass Price]])</f>
        <v>65</v>
      </c>
      <c r="M98" s="11">
        <v>7</v>
      </c>
      <c r="N98" s="11">
        <v>58</v>
      </c>
    </row>
    <row r="99" spans="1:14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310</v>
      </c>
      <c r="J99" s="8" t="s">
        <v>19</v>
      </c>
      <c r="K99" s="11">
        <v>20</v>
      </c>
      <c r="L99" s="11">
        <f>SUM(Tabela1[[#This Row],[Subscription Price]],Tabela1[[#This Row],[EA Play Season Pass Price]],Tabela1[[#This Row],[Minecraft Season Pass Price]])</f>
        <v>30</v>
      </c>
      <c r="M99" s="11">
        <v>10</v>
      </c>
      <c r="N99" s="11">
        <v>20</v>
      </c>
    </row>
    <row r="100" spans="1:14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310</v>
      </c>
      <c r="J100" s="8" t="s">
        <v>23</v>
      </c>
      <c r="K100" s="11">
        <v>0</v>
      </c>
      <c r="L100" s="11">
        <f>SUM(Tabela1[[#This Row],[Subscription Price]],Tabela1[[#This Row],[EA Play Season Pass Price]],Tabela1[[#This Row],[Minecraft Season Pass Price]])</f>
        <v>5</v>
      </c>
      <c r="M100" s="11">
        <v>1</v>
      </c>
      <c r="N100" s="11">
        <v>4</v>
      </c>
    </row>
    <row r="101" spans="1:14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f>SUM(Tabela1[[#This Row],[Subscription Price]],Tabela1[[#This Row],[EA Play Season Pass Price]],Tabela1[[#This Row],[Minecraft Season Pass Price]])</f>
        <v>65</v>
      </c>
      <c r="M101" s="11">
        <v>15</v>
      </c>
      <c r="N101" s="11">
        <v>50</v>
      </c>
    </row>
    <row r="102" spans="1:14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310</v>
      </c>
      <c r="J102" s="8" t="s">
        <v>19</v>
      </c>
      <c r="K102" s="11">
        <v>20</v>
      </c>
      <c r="L102" s="11">
        <f>SUM(Tabela1[[#This Row],[Subscription Price]],Tabela1[[#This Row],[EA Play Season Pass Price]],Tabela1[[#This Row],[Minecraft Season Pass Price]])</f>
        <v>30</v>
      </c>
      <c r="M102" s="11">
        <v>5</v>
      </c>
      <c r="N102" s="11">
        <v>25</v>
      </c>
    </row>
    <row r="103" spans="1:14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310</v>
      </c>
      <c r="J103" s="8" t="s">
        <v>23</v>
      </c>
      <c r="K103" s="11">
        <v>0</v>
      </c>
      <c r="L103" s="11">
        <f>SUM(Tabela1[[#This Row],[Subscription Price]],Tabela1[[#This Row],[EA Play Season Pass Price]],Tabela1[[#This Row],[Minecraft Season Pass Price]])</f>
        <v>5</v>
      </c>
      <c r="M103" s="11">
        <v>0</v>
      </c>
      <c r="N103" s="11">
        <v>5</v>
      </c>
    </row>
    <row r="104" spans="1:14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f>SUM(Tabela1[[#This Row],[Subscription Price]],Tabela1[[#This Row],[EA Play Season Pass Price]],Tabela1[[#This Row],[Minecraft Season Pass Price]])</f>
        <v>65</v>
      </c>
      <c r="M104" s="11">
        <v>20</v>
      </c>
      <c r="N104" s="11">
        <v>45</v>
      </c>
    </row>
    <row r="105" spans="1:14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310</v>
      </c>
      <c r="J105" s="8" t="s">
        <v>19</v>
      </c>
      <c r="K105" s="11">
        <v>20</v>
      </c>
      <c r="L105" s="11">
        <f>SUM(Tabela1[[#This Row],[Subscription Price]],Tabela1[[#This Row],[EA Play Season Pass Price]],Tabela1[[#This Row],[Minecraft Season Pass Price]])</f>
        <v>30</v>
      </c>
      <c r="M105" s="11">
        <v>12</v>
      </c>
      <c r="N105" s="11">
        <v>18</v>
      </c>
    </row>
    <row r="106" spans="1:14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310</v>
      </c>
      <c r="J106" s="8" t="s">
        <v>23</v>
      </c>
      <c r="K106" s="11">
        <v>0</v>
      </c>
      <c r="L106" s="11">
        <f>SUM(Tabela1[[#This Row],[Subscription Price]],Tabela1[[#This Row],[EA Play Season Pass Price]],Tabela1[[#This Row],[Minecraft Season Pass Price]])</f>
        <v>5</v>
      </c>
      <c r="M106" s="11">
        <v>2</v>
      </c>
      <c r="N106" s="11">
        <v>3</v>
      </c>
    </row>
    <row r="107" spans="1:14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310</v>
      </c>
      <c r="J107" s="8" t="s">
        <v>23</v>
      </c>
      <c r="K107" s="11">
        <v>0</v>
      </c>
      <c r="L107" s="11">
        <f>SUM(Tabela1[[#This Row],[Subscription Price]],Tabela1[[#This Row],[EA Play Season Pass Price]],Tabela1[[#This Row],[Minecraft Season Pass Price]])</f>
        <v>5</v>
      </c>
      <c r="M107" s="11">
        <v>0</v>
      </c>
      <c r="N107" s="11">
        <v>5</v>
      </c>
    </row>
    <row r="108" spans="1:14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f>SUM(Tabela1[[#This Row],[Subscription Price]],Tabela1[[#This Row],[EA Play Season Pass Price]],Tabela1[[#This Row],[Minecraft Season Pass Price]])</f>
        <v>65</v>
      </c>
      <c r="M108" s="11">
        <v>7</v>
      </c>
      <c r="N108" s="11">
        <v>58</v>
      </c>
    </row>
    <row r="109" spans="1:14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310</v>
      </c>
      <c r="J109" s="8" t="s">
        <v>19</v>
      </c>
      <c r="K109" s="11">
        <v>20</v>
      </c>
      <c r="L109" s="11">
        <f>SUM(Tabela1[[#This Row],[Subscription Price]],Tabela1[[#This Row],[EA Play Season Pass Price]],Tabela1[[#This Row],[Minecraft Season Pass Price]])</f>
        <v>30</v>
      </c>
      <c r="M109" s="11">
        <v>10</v>
      </c>
      <c r="N109" s="11">
        <v>20</v>
      </c>
    </row>
    <row r="110" spans="1:14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310</v>
      </c>
      <c r="J110" s="8" t="s">
        <v>23</v>
      </c>
      <c r="K110" s="11">
        <v>0</v>
      </c>
      <c r="L110" s="11">
        <f>SUM(Tabela1[[#This Row],[Subscription Price]],Tabela1[[#This Row],[EA Play Season Pass Price]],Tabela1[[#This Row],[Minecraft Season Pass Price]])</f>
        <v>5</v>
      </c>
      <c r="M110" s="11">
        <v>1</v>
      </c>
      <c r="N110" s="11">
        <v>4</v>
      </c>
    </row>
    <row r="111" spans="1:14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f>SUM(Tabela1[[#This Row],[Subscription Price]],Tabela1[[#This Row],[EA Play Season Pass Price]],Tabela1[[#This Row],[Minecraft Season Pass Price]])</f>
        <v>65</v>
      </c>
      <c r="M111" s="11">
        <v>15</v>
      </c>
      <c r="N111" s="11">
        <v>50</v>
      </c>
    </row>
    <row r="112" spans="1:14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310</v>
      </c>
      <c r="J112" s="8" t="s">
        <v>19</v>
      </c>
      <c r="K112" s="11">
        <v>20</v>
      </c>
      <c r="L112" s="11">
        <f>SUM(Tabela1[[#This Row],[Subscription Price]],Tabela1[[#This Row],[EA Play Season Pass Price]],Tabela1[[#This Row],[Minecraft Season Pass Price]])</f>
        <v>30</v>
      </c>
      <c r="M112" s="11">
        <v>5</v>
      </c>
      <c r="N112" s="11">
        <v>25</v>
      </c>
    </row>
    <row r="113" spans="1:14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310</v>
      </c>
      <c r="J113" s="8" t="s">
        <v>23</v>
      </c>
      <c r="K113" s="11">
        <v>0</v>
      </c>
      <c r="L113" s="11">
        <f>SUM(Tabela1[[#This Row],[Subscription Price]],Tabela1[[#This Row],[EA Play Season Pass Price]],Tabela1[[#This Row],[Minecraft Season Pass Price]])</f>
        <v>5</v>
      </c>
      <c r="M113" s="11">
        <v>0</v>
      </c>
      <c r="N113" s="11">
        <v>5</v>
      </c>
    </row>
    <row r="114" spans="1:14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f>SUM(Tabela1[[#This Row],[Subscription Price]],Tabela1[[#This Row],[EA Play Season Pass Price]],Tabela1[[#This Row],[Minecraft Season Pass Price]])</f>
        <v>65</v>
      </c>
      <c r="M114" s="11">
        <v>20</v>
      </c>
      <c r="N114" s="11">
        <v>45</v>
      </c>
    </row>
    <row r="115" spans="1:14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310</v>
      </c>
      <c r="J115" s="8" t="s">
        <v>19</v>
      </c>
      <c r="K115" s="11">
        <v>20</v>
      </c>
      <c r="L115" s="11">
        <f>SUM(Tabela1[[#This Row],[Subscription Price]],Tabela1[[#This Row],[EA Play Season Pass Price]],Tabela1[[#This Row],[Minecraft Season Pass Price]])</f>
        <v>30</v>
      </c>
      <c r="M115" s="11">
        <v>12</v>
      </c>
      <c r="N115" s="11">
        <v>18</v>
      </c>
    </row>
    <row r="116" spans="1:14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310</v>
      </c>
      <c r="J116" s="8" t="s">
        <v>23</v>
      </c>
      <c r="K116" s="11">
        <v>0</v>
      </c>
      <c r="L116" s="11">
        <f>SUM(Tabela1[[#This Row],[Subscription Price]],Tabela1[[#This Row],[EA Play Season Pass Price]],Tabela1[[#This Row],[Minecraft Season Pass Price]])</f>
        <v>5</v>
      </c>
      <c r="M116" s="11">
        <v>2</v>
      </c>
      <c r="N116" s="11">
        <v>3</v>
      </c>
    </row>
    <row r="117" spans="1:14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f>SUM(Tabela1[[#This Row],[Subscription Price]],Tabela1[[#This Row],[EA Play Season Pass Price]],Tabela1[[#This Row],[Minecraft Season Pass Price]])</f>
        <v>65</v>
      </c>
      <c r="M117" s="11">
        <v>5</v>
      </c>
      <c r="N117" s="11">
        <v>60</v>
      </c>
    </row>
    <row r="118" spans="1:14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310</v>
      </c>
      <c r="J118" s="8" t="s">
        <v>19</v>
      </c>
      <c r="K118" s="11">
        <v>20</v>
      </c>
      <c r="L118" s="11">
        <f>SUM(Tabela1[[#This Row],[Subscription Price]],Tabela1[[#This Row],[EA Play Season Pass Price]],Tabela1[[#This Row],[Minecraft Season Pass Price]])</f>
        <v>30</v>
      </c>
      <c r="M118" s="11">
        <v>10</v>
      </c>
      <c r="N118" s="11">
        <v>20</v>
      </c>
    </row>
    <row r="119" spans="1:14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310</v>
      </c>
      <c r="J119" s="8" t="s">
        <v>23</v>
      </c>
      <c r="K119" s="11">
        <v>0</v>
      </c>
      <c r="L119" s="11">
        <f>SUM(Tabela1[[#This Row],[Subscription Price]],Tabela1[[#This Row],[EA Play Season Pass Price]],Tabela1[[#This Row],[Minecraft Season Pass Price]])</f>
        <v>5</v>
      </c>
      <c r="M119" s="11">
        <v>0</v>
      </c>
      <c r="N119" s="11">
        <v>5</v>
      </c>
    </row>
    <row r="120" spans="1:14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f>SUM(Tabela1[[#This Row],[Subscription Price]],Tabela1[[#This Row],[EA Play Season Pass Price]],Tabela1[[#This Row],[Minecraft Season Pass Price]])</f>
        <v>65</v>
      </c>
      <c r="M120" s="11">
        <v>3</v>
      </c>
      <c r="N120" s="11">
        <v>62</v>
      </c>
    </row>
    <row r="121" spans="1:14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310</v>
      </c>
      <c r="J121" s="8" t="s">
        <v>19</v>
      </c>
      <c r="K121" s="11">
        <v>20</v>
      </c>
      <c r="L121" s="11">
        <f>SUM(Tabela1[[#This Row],[Subscription Price]],Tabela1[[#This Row],[EA Play Season Pass Price]],Tabela1[[#This Row],[Minecraft Season Pass Price]])</f>
        <v>30</v>
      </c>
      <c r="M121" s="11">
        <v>15</v>
      </c>
      <c r="N121" s="11">
        <v>15</v>
      </c>
    </row>
    <row r="122" spans="1:14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310</v>
      </c>
      <c r="J122" s="8" t="s">
        <v>23</v>
      </c>
      <c r="K122" s="11">
        <v>0</v>
      </c>
      <c r="L122" s="11">
        <f>SUM(Tabela1[[#This Row],[Subscription Price]],Tabela1[[#This Row],[EA Play Season Pass Price]],Tabela1[[#This Row],[Minecraft Season Pass Price]])</f>
        <v>5</v>
      </c>
      <c r="M122" s="11">
        <v>1</v>
      </c>
      <c r="N122" s="11">
        <v>4</v>
      </c>
    </row>
    <row r="123" spans="1:14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f>SUM(Tabela1[[#This Row],[Subscription Price]],Tabela1[[#This Row],[EA Play Season Pass Price]],Tabela1[[#This Row],[Minecraft Season Pass Price]])</f>
        <v>65</v>
      </c>
      <c r="M123" s="11">
        <v>7</v>
      </c>
      <c r="N123" s="11">
        <v>58</v>
      </c>
    </row>
    <row r="124" spans="1:14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310</v>
      </c>
      <c r="J124" s="8" t="s">
        <v>19</v>
      </c>
      <c r="K124" s="11">
        <v>20</v>
      </c>
      <c r="L124" s="11">
        <f>SUM(Tabela1[[#This Row],[Subscription Price]],Tabela1[[#This Row],[EA Play Season Pass Price]],Tabela1[[#This Row],[Minecraft Season Pass Price]])</f>
        <v>30</v>
      </c>
      <c r="M124" s="11">
        <v>10</v>
      </c>
      <c r="N124" s="11">
        <v>20</v>
      </c>
    </row>
    <row r="125" spans="1:14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310</v>
      </c>
      <c r="J125" s="8" t="s">
        <v>23</v>
      </c>
      <c r="K125" s="11">
        <v>0</v>
      </c>
      <c r="L125" s="11">
        <f>SUM(Tabela1[[#This Row],[Subscription Price]],Tabela1[[#This Row],[EA Play Season Pass Price]],Tabela1[[#This Row],[Minecraft Season Pass Price]])</f>
        <v>5</v>
      </c>
      <c r="M125" s="11">
        <v>0</v>
      </c>
      <c r="N125" s="11">
        <v>5</v>
      </c>
    </row>
    <row r="126" spans="1:14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f>SUM(Tabela1[[#This Row],[Subscription Price]],Tabela1[[#This Row],[EA Play Season Pass Price]],Tabela1[[#This Row],[Minecraft Season Pass Price]])</f>
        <v>65</v>
      </c>
      <c r="M126" s="11">
        <v>20</v>
      </c>
      <c r="N126" s="11">
        <v>45</v>
      </c>
    </row>
    <row r="127" spans="1:14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310</v>
      </c>
      <c r="J127" s="8" t="s">
        <v>19</v>
      </c>
      <c r="K127" s="11">
        <v>20</v>
      </c>
      <c r="L127" s="11">
        <f>SUM(Tabela1[[#This Row],[Subscription Price]],Tabela1[[#This Row],[EA Play Season Pass Price]],Tabela1[[#This Row],[Minecraft Season Pass Price]])</f>
        <v>30</v>
      </c>
      <c r="M127" s="11">
        <v>15</v>
      </c>
      <c r="N127" s="11">
        <v>15</v>
      </c>
    </row>
    <row r="128" spans="1:14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310</v>
      </c>
      <c r="J128" s="8" t="s">
        <v>23</v>
      </c>
      <c r="K128" s="11">
        <v>0</v>
      </c>
      <c r="L128" s="11">
        <f>SUM(Tabela1[[#This Row],[Subscription Price]],Tabela1[[#This Row],[EA Play Season Pass Price]],Tabela1[[#This Row],[Minecraft Season Pass Price]])</f>
        <v>5</v>
      </c>
      <c r="M128" s="11">
        <v>1</v>
      </c>
      <c r="N128" s="11">
        <v>4</v>
      </c>
    </row>
    <row r="129" spans="1:14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f>SUM(Tabela1[[#This Row],[Subscription Price]],Tabela1[[#This Row],[EA Play Season Pass Price]],Tabela1[[#This Row],[Minecraft Season Pass Price]])</f>
        <v>65</v>
      </c>
      <c r="M129" s="11">
        <v>3</v>
      </c>
      <c r="N129" s="11">
        <v>62</v>
      </c>
    </row>
    <row r="130" spans="1:14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310</v>
      </c>
      <c r="J130" s="8" t="s">
        <v>19</v>
      </c>
      <c r="K130" s="11">
        <v>20</v>
      </c>
      <c r="L130" s="11">
        <f>SUM(Tabela1[[#This Row],[Subscription Price]],Tabela1[[#This Row],[EA Play Season Pass Price]],Tabela1[[#This Row],[Minecraft Season Pass Price]])</f>
        <v>30</v>
      </c>
      <c r="M130" s="11">
        <v>10</v>
      </c>
      <c r="N130" s="11">
        <v>20</v>
      </c>
    </row>
    <row r="131" spans="1:14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310</v>
      </c>
      <c r="J131" s="8" t="s">
        <v>23</v>
      </c>
      <c r="K131" s="11">
        <v>0</v>
      </c>
      <c r="L131" s="11">
        <f>SUM(Tabela1[[#This Row],[Subscription Price]],Tabela1[[#This Row],[EA Play Season Pass Price]],Tabela1[[#This Row],[Minecraft Season Pass Price]])</f>
        <v>5</v>
      </c>
      <c r="M131" s="11">
        <v>0</v>
      </c>
      <c r="N131" s="11">
        <v>5</v>
      </c>
    </row>
    <row r="132" spans="1:14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f>SUM(Tabela1[[#This Row],[Subscription Price]],Tabela1[[#This Row],[EA Play Season Pass Price]],Tabela1[[#This Row],[Minecraft Season Pass Price]])</f>
        <v>65</v>
      </c>
      <c r="M132" s="11">
        <v>15</v>
      </c>
      <c r="N132" s="11">
        <v>50</v>
      </c>
    </row>
    <row r="133" spans="1:14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310</v>
      </c>
      <c r="J133" s="8" t="s">
        <v>19</v>
      </c>
      <c r="K133" s="11">
        <v>20</v>
      </c>
      <c r="L133" s="11">
        <f>SUM(Tabela1[[#This Row],[Subscription Price]],Tabela1[[#This Row],[EA Play Season Pass Price]],Tabela1[[#This Row],[Minecraft Season Pass Price]])</f>
        <v>30</v>
      </c>
      <c r="M133" s="11">
        <v>15</v>
      </c>
      <c r="N133" s="11">
        <v>15</v>
      </c>
    </row>
    <row r="134" spans="1:14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310</v>
      </c>
      <c r="J134" s="8" t="s">
        <v>23</v>
      </c>
      <c r="K134" s="11">
        <v>0</v>
      </c>
      <c r="L134" s="11">
        <f>SUM(Tabela1[[#This Row],[Subscription Price]],Tabela1[[#This Row],[EA Play Season Pass Price]],Tabela1[[#This Row],[Minecraft Season Pass Price]])</f>
        <v>5</v>
      </c>
      <c r="M134" s="11">
        <v>1</v>
      </c>
      <c r="N134" s="11">
        <v>4</v>
      </c>
    </row>
    <row r="135" spans="1:14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f>SUM(Tabela1[[#This Row],[Subscription Price]],Tabela1[[#This Row],[EA Play Season Pass Price]],Tabela1[[#This Row],[Minecraft Season Pass Price]])</f>
        <v>65</v>
      </c>
      <c r="M135" s="11">
        <v>7</v>
      </c>
      <c r="N135" s="11">
        <v>58</v>
      </c>
    </row>
    <row r="136" spans="1:14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310</v>
      </c>
      <c r="J136" s="8" t="s">
        <v>19</v>
      </c>
      <c r="K136" s="11">
        <v>20</v>
      </c>
      <c r="L136" s="11">
        <f>SUM(Tabela1[[#This Row],[Subscription Price]],Tabela1[[#This Row],[EA Play Season Pass Price]],Tabela1[[#This Row],[Minecraft Season Pass Price]])</f>
        <v>30</v>
      </c>
      <c r="M136" s="11">
        <v>10</v>
      </c>
      <c r="N136" s="11">
        <v>20</v>
      </c>
    </row>
    <row r="137" spans="1:14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310</v>
      </c>
      <c r="J137" s="8" t="s">
        <v>23</v>
      </c>
      <c r="K137" s="11">
        <v>0</v>
      </c>
      <c r="L137" s="11">
        <f>SUM(Tabela1[[#This Row],[Subscription Price]],Tabela1[[#This Row],[EA Play Season Pass Price]],Tabela1[[#This Row],[Minecraft Season Pass Price]])</f>
        <v>5</v>
      </c>
      <c r="M137" s="11">
        <v>0</v>
      </c>
      <c r="N137" s="11">
        <v>5</v>
      </c>
    </row>
    <row r="138" spans="1:14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f>SUM(Tabela1[[#This Row],[Subscription Price]],Tabela1[[#This Row],[EA Play Season Pass Price]],Tabela1[[#This Row],[Minecraft Season Pass Price]])</f>
        <v>65</v>
      </c>
      <c r="M138" s="11">
        <v>7</v>
      </c>
      <c r="N138" s="11">
        <v>58</v>
      </c>
    </row>
    <row r="139" spans="1:14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310</v>
      </c>
      <c r="J139" s="8" t="s">
        <v>19</v>
      </c>
      <c r="K139" s="11">
        <v>20</v>
      </c>
      <c r="L139" s="11">
        <f>SUM(Tabela1[[#This Row],[Subscription Price]],Tabela1[[#This Row],[EA Play Season Pass Price]],Tabela1[[#This Row],[Minecraft Season Pass Price]])</f>
        <v>30</v>
      </c>
      <c r="M139" s="11">
        <v>10</v>
      </c>
      <c r="N139" s="11">
        <v>20</v>
      </c>
    </row>
    <row r="140" spans="1:14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310</v>
      </c>
      <c r="J140" s="8" t="s">
        <v>23</v>
      </c>
      <c r="K140" s="11">
        <v>0</v>
      </c>
      <c r="L140" s="11">
        <f>SUM(Tabela1[[#This Row],[Subscription Price]],Tabela1[[#This Row],[EA Play Season Pass Price]],Tabela1[[#This Row],[Minecraft Season Pass Price]])</f>
        <v>5</v>
      </c>
      <c r="M140" s="11">
        <v>1</v>
      </c>
      <c r="N140" s="11">
        <v>4</v>
      </c>
    </row>
    <row r="141" spans="1:14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f>SUM(Tabela1[[#This Row],[Subscription Price]],Tabela1[[#This Row],[EA Play Season Pass Price]],Tabela1[[#This Row],[Minecraft Season Pass Price]])</f>
        <v>65</v>
      </c>
      <c r="M141" s="11">
        <v>15</v>
      </c>
      <c r="N141" s="11">
        <v>50</v>
      </c>
    </row>
    <row r="142" spans="1:14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310</v>
      </c>
      <c r="J142" s="8" t="s">
        <v>19</v>
      </c>
      <c r="K142" s="11">
        <v>20</v>
      </c>
      <c r="L142" s="11">
        <f>SUM(Tabela1[[#This Row],[Subscription Price]],Tabela1[[#This Row],[EA Play Season Pass Price]],Tabela1[[#This Row],[Minecraft Season Pass Price]])</f>
        <v>30</v>
      </c>
      <c r="M142" s="11">
        <v>5</v>
      </c>
      <c r="N142" s="11">
        <v>25</v>
      </c>
    </row>
    <row r="143" spans="1:14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310</v>
      </c>
      <c r="J143" s="8" t="s">
        <v>23</v>
      </c>
      <c r="K143" s="11">
        <v>0</v>
      </c>
      <c r="L143" s="11">
        <f>SUM(Tabela1[[#This Row],[Subscription Price]],Tabela1[[#This Row],[EA Play Season Pass Price]],Tabela1[[#This Row],[Minecraft Season Pass Price]])</f>
        <v>5</v>
      </c>
      <c r="M143" s="11">
        <v>0</v>
      </c>
      <c r="N143" s="11">
        <v>5</v>
      </c>
    </row>
    <row r="144" spans="1:14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f>SUM(Tabela1[[#This Row],[Subscription Price]],Tabela1[[#This Row],[EA Play Season Pass Price]],Tabela1[[#This Row],[Minecraft Season Pass Price]])</f>
        <v>65</v>
      </c>
      <c r="M144" s="11">
        <v>20</v>
      </c>
      <c r="N144" s="11">
        <v>45</v>
      </c>
    </row>
    <row r="145" spans="1:14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310</v>
      </c>
      <c r="J145" s="8" t="s">
        <v>19</v>
      </c>
      <c r="K145" s="11">
        <v>20</v>
      </c>
      <c r="L145" s="11">
        <f>SUM(Tabela1[[#This Row],[Subscription Price]],Tabela1[[#This Row],[EA Play Season Pass Price]],Tabela1[[#This Row],[Minecraft Season Pass Price]])</f>
        <v>30</v>
      </c>
      <c r="M145" s="11">
        <v>12</v>
      </c>
      <c r="N145" s="11">
        <v>18</v>
      </c>
    </row>
    <row r="146" spans="1:14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310</v>
      </c>
      <c r="J146" s="8" t="s">
        <v>23</v>
      </c>
      <c r="K146" s="11">
        <v>0</v>
      </c>
      <c r="L146" s="11">
        <f>SUM(Tabela1[[#This Row],[Subscription Price]],Tabela1[[#This Row],[EA Play Season Pass Price]],Tabela1[[#This Row],[Minecraft Season Pass Price]])</f>
        <v>5</v>
      </c>
      <c r="M146" s="11">
        <v>2</v>
      </c>
      <c r="N146" s="11">
        <v>3</v>
      </c>
    </row>
    <row r="147" spans="1:14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f>SUM(Tabela1[[#This Row],[Subscription Price]],Tabela1[[#This Row],[EA Play Season Pass Price]],Tabela1[[#This Row],[Minecraft Season Pass Price]])</f>
        <v>65</v>
      </c>
      <c r="M147" s="11">
        <v>5</v>
      </c>
      <c r="N147" s="11">
        <v>60</v>
      </c>
    </row>
    <row r="148" spans="1:14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310</v>
      </c>
      <c r="J148" s="8" t="s">
        <v>19</v>
      </c>
      <c r="K148" s="11">
        <v>20</v>
      </c>
      <c r="L148" s="11">
        <f>SUM(Tabela1[[#This Row],[Subscription Price]],Tabela1[[#This Row],[EA Play Season Pass Price]],Tabela1[[#This Row],[Minecraft Season Pass Price]])</f>
        <v>30</v>
      </c>
      <c r="M148" s="11">
        <v>10</v>
      </c>
      <c r="N148" s="11">
        <v>20</v>
      </c>
    </row>
    <row r="149" spans="1:14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310</v>
      </c>
      <c r="J149" s="8" t="s">
        <v>23</v>
      </c>
      <c r="K149" s="11">
        <v>0</v>
      </c>
      <c r="L149" s="11">
        <f>SUM(Tabela1[[#This Row],[Subscription Price]],Tabela1[[#This Row],[EA Play Season Pass Price]],Tabela1[[#This Row],[Minecraft Season Pass Price]])</f>
        <v>5</v>
      </c>
      <c r="M149" s="11">
        <v>0</v>
      </c>
      <c r="N149" s="11">
        <v>5</v>
      </c>
    </row>
    <row r="150" spans="1:14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f>SUM(Tabela1[[#This Row],[Subscription Price]],Tabela1[[#This Row],[EA Play Season Pass Price]],Tabela1[[#This Row],[Minecraft Season Pass Price]])</f>
        <v>65</v>
      </c>
      <c r="M150" s="11">
        <v>3</v>
      </c>
      <c r="N150" s="11">
        <v>62</v>
      </c>
    </row>
    <row r="151" spans="1:14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310</v>
      </c>
      <c r="J151" s="8" t="s">
        <v>19</v>
      </c>
      <c r="K151" s="11">
        <v>20</v>
      </c>
      <c r="L151" s="11">
        <f>SUM(Tabela1[[#This Row],[Subscription Price]],Tabela1[[#This Row],[EA Play Season Pass Price]],Tabela1[[#This Row],[Minecraft Season Pass Price]])</f>
        <v>30</v>
      </c>
      <c r="M151" s="11">
        <v>15</v>
      </c>
      <c r="N151" s="11">
        <v>15</v>
      </c>
    </row>
    <row r="152" spans="1:14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310</v>
      </c>
      <c r="J152" s="8" t="s">
        <v>23</v>
      </c>
      <c r="K152" s="11">
        <v>0</v>
      </c>
      <c r="L152" s="11">
        <f>SUM(Tabela1[[#This Row],[Subscription Price]],Tabela1[[#This Row],[EA Play Season Pass Price]],Tabela1[[#This Row],[Minecraft Season Pass Price]])</f>
        <v>5</v>
      </c>
      <c r="M152" s="11">
        <v>1</v>
      </c>
      <c r="N152" s="11">
        <v>4</v>
      </c>
    </row>
    <row r="153" spans="1:14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f>SUM(Tabela1[[#This Row],[Subscription Price]],Tabela1[[#This Row],[EA Play Season Pass Price]],Tabela1[[#This Row],[Minecraft Season Pass Price]])</f>
        <v>65</v>
      </c>
      <c r="M153" s="11">
        <v>7</v>
      </c>
      <c r="N153" s="11">
        <v>58</v>
      </c>
    </row>
    <row r="154" spans="1:14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310</v>
      </c>
      <c r="J154" s="8" t="s">
        <v>19</v>
      </c>
      <c r="K154" s="11">
        <v>20</v>
      </c>
      <c r="L154" s="11">
        <f>SUM(Tabela1[[#This Row],[Subscription Price]],Tabela1[[#This Row],[EA Play Season Pass Price]],Tabela1[[#This Row],[Minecraft Season Pass Price]])</f>
        <v>30</v>
      </c>
      <c r="M154" s="11">
        <v>10</v>
      </c>
      <c r="N154" s="11">
        <v>20</v>
      </c>
    </row>
    <row r="155" spans="1:14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310</v>
      </c>
      <c r="J155" s="8" t="s">
        <v>23</v>
      </c>
      <c r="K155" s="11">
        <v>0</v>
      </c>
      <c r="L155" s="11">
        <f>SUM(Tabela1[[#This Row],[Subscription Price]],Tabela1[[#This Row],[EA Play Season Pass Price]],Tabela1[[#This Row],[Minecraft Season Pass Price]])</f>
        <v>5</v>
      </c>
      <c r="M155" s="11">
        <v>0</v>
      </c>
      <c r="N155" s="11">
        <v>5</v>
      </c>
    </row>
    <row r="156" spans="1:14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f>SUM(Tabela1[[#This Row],[Subscription Price]],Tabela1[[#This Row],[EA Play Season Pass Price]],Tabela1[[#This Row],[Minecraft Season Pass Price]])</f>
        <v>65</v>
      </c>
      <c r="M156" s="11">
        <v>20</v>
      </c>
      <c r="N156" s="11">
        <v>45</v>
      </c>
    </row>
    <row r="157" spans="1:14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310</v>
      </c>
      <c r="J157" s="8" t="s">
        <v>19</v>
      </c>
      <c r="K157" s="11">
        <v>20</v>
      </c>
      <c r="L157" s="11">
        <f>SUM(Tabela1[[#This Row],[Subscription Price]],Tabela1[[#This Row],[EA Play Season Pass Price]],Tabela1[[#This Row],[Minecraft Season Pass Price]])</f>
        <v>30</v>
      </c>
      <c r="M157" s="11">
        <v>15</v>
      </c>
      <c r="N157" s="11">
        <v>15</v>
      </c>
    </row>
    <row r="158" spans="1:14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310</v>
      </c>
      <c r="J158" s="8" t="s">
        <v>23</v>
      </c>
      <c r="K158" s="11">
        <v>0</v>
      </c>
      <c r="L158" s="11">
        <f>SUM(Tabela1[[#This Row],[Subscription Price]],Tabela1[[#This Row],[EA Play Season Pass Price]],Tabela1[[#This Row],[Minecraft Season Pass Price]])</f>
        <v>5</v>
      </c>
      <c r="M158" s="11">
        <v>1</v>
      </c>
      <c r="N158" s="11">
        <v>4</v>
      </c>
    </row>
    <row r="159" spans="1:14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f>SUM(Tabela1[[#This Row],[Subscription Price]],Tabela1[[#This Row],[EA Play Season Pass Price]],Tabela1[[#This Row],[Minecraft Season Pass Price]])</f>
        <v>65</v>
      </c>
      <c r="M159" s="11">
        <v>3</v>
      </c>
      <c r="N159" s="11">
        <v>62</v>
      </c>
    </row>
    <row r="160" spans="1:14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310</v>
      </c>
      <c r="J160" s="8" t="s">
        <v>19</v>
      </c>
      <c r="K160" s="11">
        <v>20</v>
      </c>
      <c r="L160" s="11">
        <f>SUM(Tabela1[[#This Row],[Subscription Price]],Tabela1[[#This Row],[EA Play Season Pass Price]],Tabela1[[#This Row],[Minecraft Season Pass Price]])</f>
        <v>30</v>
      </c>
      <c r="M160" s="11">
        <v>10</v>
      </c>
      <c r="N160" s="11">
        <v>20</v>
      </c>
    </row>
    <row r="161" spans="1:14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310</v>
      </c>
      <c r="J161" s="8" t="s">
        <v>23</v>
      </c>
      <c r="K161" s="11">
        <v>0</v>
      </c>
      <c r="L161" s="11">
        <f>SUM(Tabela1[[#This Row],[Subscription Price]],Tabela1[[#This Row],[EA Play Season Pass Price]],Tabela1[[#This Row],[Minecraft Season Pass Price]])</f>
        <v>5</v>
      </c>
      <c r="M161" s="11">
        <v>0</v>
      </c>
      <c r="N161" s="11">
        <v>5</v>
      </c>
    </row>
    <row r="162" spans="1:14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f>SUM(Tabela1[[#This Row],[Subscription Price]],Tabela1[[#This Row],[EA Play Season Pass Price]],Tabela1[[#This Row],[Minecraft Season Pass Price]])</f>
        <v>65</v>
      </c>
      <c r="M162" s="11">
        <v>15</v>
      </c>
      <c r="N162" s="11">
        <v>50</v>
      </c>
    </row>
    <row r="163" spans="1:14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310</v>
      </c>
      <c r="J163" s="8" t="s">
        <v>19</v>
      </c>
      <c r="K163" s="11">
        <v>20</v>
      </c>
      <c r="L163" s="11">
        <f>SUM(Tabela1[[#This Row],[Subscription Price]],Tabela1[[#This Row],[EA Play Season Pass Price]],Tabela1[[#This Row],[Minecraft Season Pass Price]])</f>
        <v>30</v>
      </c>
      <c r="M163" s="11">
        <v>15</v>
      </c>
      <c r="N163" s="11">
        <v>15</v>
      </c>
    </row>
    <row r="164" spans="1:14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310</v>
      </c>
      <c r="J164" s="8" t="s">
        <v>23</v>
      </c>
      <c r="K164" s="11">
        <v>0</v>
      </c>
      <c r="L164" s="11">
        <f>SUM(Tabela1[[#This Row],[Subscription Price]],Tabela1[[#This Row],[EA Play Season Pass Price]],Tabela1[[#This Row],[Minecraft Season Pass Price]])</f>
        <v>5</v>
      </c>
      <c r="M164" s="11">
        <v>1</v>
      </c>
      <c r="N164" s="11">
        <v>4</v>
      </c>
    </row>
    <row r="165" spans="1:14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f>SUM(Tabela1[[#This Row],[Subscription Price]],Tabela1[[#This Row],[EA Play Season Pass Price]],Tabela1[[#This Row],[Minecraft Season Pass Price]])</f>
        <v>65</v>
      </c>
      <c r="M165" s="11">
        <v>7</v>
      </c>
      <c r="N165" s="11">
        <v>58</v>
      </c>
    </row>
    <row r="166" spans="1:14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310</v>
      </c>
      <c r="J166" s="8" t="s">
        <v>19</v>
      </c>
      <c r="K166" s="11">
        <v>20</v>
      </c>
      <c r="L166" s="11">
        <f>SUM(Tabela1[[#This Row],[Subscription Price]],Tabela1[[#This Row],[EA Play Season Pass Price]],Tabela1[[#This Row],[Minecraft Season Pass Price]])</f>
        <v>30</v>
      </c>
      <c r="M166" s="11">
        <v>10</v>
      </c>
      <c r="N166" s="11">
        <v>20</v>
      </c>
    </row>
    <row r="167" spans="1:14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310</v>
      </c>
      <c r="J167" s="8" t="s">
        <v>23</v>
      </c>
      <c r="K167" s="11">
        <v>0</v>
      </c>
      <c r="L167" s="11">
        <f>SUM(Tabela1[[#This Row],[Subscription Price]],Tabela1[[#This Row],[EA Play Season Pass Price]],Tabela1[[#This Row],[Minecraft Season Pass Price]])</f>
        <v>5</v>
      </c>
      <c r="M167" s="11">
        <v>0</v>
      </c>
      <c r="N167" s="11">
        <v>5</v>
      </c>
    </row>
    <row r="168" spans="1:14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f>SUM(Tabela1[[#This Row],[Subscription Price]],Tabela1[[#This Row],[EA Play Season Pass Price]],Tabela1[[#This Row],[Minecraft Season Pass Price]])</f>
        <v>65</v>
      </c>
      <c r="M168" s="11">
        <v>20</v>
      </c>
      <c r="N168" s="11">
        <v>45</v>
      </c>
    </row>
    <row r="169" spans="1:14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310</v>
      </c>
      <c r="J169" s="8" t="s">
        <v>19</v>
      </c>
      <c r="K169" s="11">
        <v>20</v>
      </c>
      <c r="L169" s="11">
        <f>SUM(Tabela1[[#This Row],[Subscription Price]],Tabela1[[#This Row],[EA Play Season Pass Price]],Tabela1[[#This Row],[Minecraft Season Pass Price]])</f>
        <v>30</v>
      </c>
      <c r="M169" s="11">
        <v>15</v>
      </c>
      <c r="N169" s="11">
        <v>15</v>
      </c>
    </row>
    <row r="170" spans="1:14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310</v>
      </c>
      <c r="J170" s="8" t="s">
        <v>23</v>
      </c>
      <c r="K170" s="11">
        <v>0</v>
      </c>
      <c r="L170" s="11">
        <f>SUM(Tabela1[[#This Row],[Subscription Price]],Tabela1[[#This Row],[EA Play Season Pass Price]],Tabela1[[#This Row],[Minecraft Season Pass Price]])</f>
        <v>5</v>
      </c>
      <c r="M170" s="11">
        <v>1</v>
      </c>
      <c r="N170" s="11">
        <v>4</v>
      </c>
    </row>
    <row r="171" spans="1:14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f>SUM(Tabela1[[#This Row],[Subscription Price]],Tabela1[[#This Row],[EA Play Season Pass Price]],Tabela1[[#This Row],[Minecraft Season Pass Price]])</f>
        <v>65</v>
      </c>
      <c r="M171" s="11">
        <v>5</v>
      </c>
      <c r="N171" s="11">
        <v>60</v>
      </c>
    </row>
    <row r="172" spans="1:14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310</v>
      </c>
      <c r="J172" s="8" t="s">
        <v>19</v>
      </c>
      <c r="K172" s="11">
        <v>20</v>
      </c>
      <c r="L172" s="11">
        <f>SUM(Tabela1[[#This Row],[Subscription Price]],Tabela1[[#This Row],[EA Play Season Pass Price]],Tabela1[[#This Row],[Minecraft Season Pass Price]])</f>
        <v>30</v>
      </c>
      <c r="M172" s="11">
        <v>10</v>
      </c>
      <c r="N172" s="11">
        <v>20</v>
      </c>
    </row>
    <row r="173" spans="1:14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310</v>
      </c>
      <c r="J173" s="8" t="s">
        <v>23</v>
      </c>
      <c r="K173" s="11">
        <v>0</v>
      </c>
      <c r="L173" s="11">
        <f>SUM(Tabela1[[#This Row],[Subscription Price]],Tabela1[[#This Row],[EA Play Season Pass Price]],Tabela1[[#This Row],[Minecraft Season Pass Price]])</f>
        <v>5</v>
      </c>
      <c r="M173" s="11">
        <v>0</v>
      </c>
      <c r="N173" s="11">
        <v>5</v>
      </c>
    </row>
    <row r="174" spans="1:14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f>SUM(Tabela1[[#This Row],[Subscription Price]],Tabela1[[#This Row],[EA Play Season Pass Price]],Tabela1[[#This Row],[Minecraft Season Pass Price]])</f>
        <v>65</v>
      </c>
      <c r="M174" s="11">
        <v>3</v>
      </c>
      <c r="N174" s="11">
        <v>62</v>
      </c>
    </row>
    <row r="175" spans="1:14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310</v>
      </c>
      <c r="J175" s="8" t="s">
        <v>19</v>
      </c>
      <c r="K175" s="11">
        <v>20</v>
      </c>
      <c r="L175" s="11">
        <f>SUM(Tabela1[[#This Row],[Subscription Price]],Tabela1[[#This Row],[EA Play Season Pass Price]],Tabela1[[#This Row],[Minecraft Season Pass Price]])</f>
        <v>30</v>
      </c>
      <c r="M175" s="11">
        <v>15</v>
      </c>
      <c r="N175" s="11">
        <v>15</v>
      </c>
    </row>
    <row r="176" spans="1:14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310</v>
      </c>
      <c r="J176" s="8" t="s">
        <v>23</v>
      </c>
      <c r="K176" s="11">
        <v>0</v>
      </c>
      <c r="L176" s="11">
        <f>SUM(Tabela1[[#This Row],[Subscription Price]],Tabela1[[#This Row],[EA Play Season Pass Price]],Tabela1[[#This Row],[Minecraft Season Pass Price]])</f>
        <v>5</v>
      </c>
      <c r="M176" s="11">
        <v>1</v>
      </c>
      <c r="N176" s="11">
        <v>4</v>
      </c>
    </row>
    <row r="177" spans="1:14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310</v>
      </c>
      <c r="J177" s="8" t="s">
        <v>23</v>
      </c>
      <c r="K177" s="11">
        <v>0</v>
      </c>
      <c r="L177" s="11">
        <f>SUM(Tabela1[[#This Row],[Subscription Price]],Tabela1[[#This Row],[EA Play Season Pass Price]],Tabela1[[#This Row],[Minecraft Season Pass Price]])</f>
        <v>5</v>
      </c>
      <c r="M177" s="11">
        <v>0</v>
      </c>
      <c r="N177" s="11">
        <v>5</v>
      </c>
    </row>
    <row r="178" spans="1:14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f>SUM(Tabela1[[#This Row],[Subscription Price]],Tabela1[[#This Row],[EA Play Season Pass Price]],Tabela1[[#This Row],[Minecraft Season Pass Price]])</f>
        <v>65</v>
      </c>
      <c r="M178" s="11">
        <v>7</v>
      </c>
      <c r="N178" s="11">
        <v>58</v>
      </c>
    </row>
    <row r="179" spans="1:14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310</v>
      </c>
      <c r="J179" s="8" t="s">
        <v>19</v>
      </c>
      <c r="K179" s="11">
        <v>20</v>
      </c>
      <c r="L179" s="11">
        <f>SUM(Tabela1[[#This Row],[Subscription Price]],Tabela1[[#This Row],[EA Play Season Pass Price]],Tabela1[[#This Row],[Minecraft Season Pass Price]])</f>
        <v>30</v>
      </c>
      <c r="M179" s="11">
        <v>10</v>
      </c>
      <c r="N179" s="11">
        <v>20</v>
      </c>
    </row>
    <row r="180" spans="1:14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310</v>
      </c>
      <c r="J180" s="8" t="s">
        <v>23</v>
      </c>
      <c r="K180" s="11">
        <v>0</v>
      </c>
      <c r="L180" s="11">
        <f>SUM(Tabela1[[#This Row],[Subscription Price]],Tabela1[[#This Row],[EA Play Season Pass Price]],Tabela1[[#This Row],[Minecraft Season Pass Price]])</f>
        <v>5</v>
      </c>
      <c r="M180" s="11">
        <v>1</v>
      </c>
      <c r="N180" s="11">
        <v>4</v>
      </c>
    </row>
    <row r="181" spans="1:14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f>SUM(Tabela1[[#This Row],[Subscription Price]],Tabela1[[#This Row],[EA Play Season Pass Price]],Tabela1[[#This Row],[Minecraft Season Pass Price]])</f>
        <v>65</v>
      </c>
      <c r="M181" s="11">
        <v>15</v>
      </c>
      <c r="N181" s="11">
        <v>50</v>
      </c>
    </row>
    <row r="182" spans="1:14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310</v>
      </c>
      <c r="J182" s="8" t="s">
        <v>19</v>
      </c>
      <c r="K182" s="11">
        <v>20</v>
      </c>
      <c r="L182" s="11">
        <f>SUM(Tabela1[[#This Row],[Subscription Price]],Tabela1[[#This Row],[EA Play Season Pass Price]],Tabela1[[#This Row],[Minecraft Season Pass Price]])</f>
        <v>30</v>
      </c>
      <c r="M182" s="11">
        <v>5</v>
      </c>
      <c r="N182" s="11">
        <v>25</v>
      </c>
    </row>
    <row r="183" spans="1:14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310</v>
      </c>
      <c r="J183" s="8" t="s">
        <v>23</v>
      </c>
      <c r="K183" s="11">
        <v>0</v>
      </c>
      <c r="L183" s="11">
        <f>SUM(Tabela1[[#This Row],[Subscription Price]],Tabela1[[#This Row],[EA Play Season Pass Price]],Tabela1[[#This Row],[Minecraft Season Pass Price]])</f>
        <v>5</v>
      </c>
      <c r="M183" s="11">
        <v>0</v>
      </c>
      <c r="N183" s="11">
        <v>5</v>
      </c>
    </row>
    <row r="184" spans="1:14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f>SUM(Tabela1[[#This Row],[Subscription Price]],Tabela1[[#This Row],[EA Play Season Pass Price]],Tabela1[[#This Row],[Minecraft Season Pass Price]])</f>
        <v>65</v>
      </c>
      <c r="M184" s="11">
        <v>20</v>
      </c>
      <c r="N184" s="11">
        <v>45</v>
      </c>
    </row>
    <row r="185" spans="1:14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310</v>
      </c>
      <c r="J185" s="8" t="s">
        <v>19</v>
      </c>
      <c r="K185" s="11">
        <v>20</v>
      </c>
      <c r="L185" s="11">
        <f>SUM(Tabela1[[#This Row],[Subscription Price]],Tabela1[[#This Row],[EA Play Season Pass Price]],Tabela1[[#This Row],[Minecraft Season Pass Price]])</f>
        <v>30</v>
      </c>
      <c r="M185" s="11">
        <v>12</v>
      </c>
      <c r="N185" s="11">
        <v>18</v>
      </c>
    </row>
    <row r="186" spans="1:14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310</v>
      </c>
      <c r="J186" s="8" t="s">
        <v>23</v>
      </c>
      <c r="K186" s="11">
        <v>0</v>
      </c>
      <c r="L186" s="11">
        <f>SUM(Tabela1[[#This Row],[Subscription Price]],Tabela1[[#This Row],[EA Play Season Pass Price]],Tabela1[[#This Row],[Minecraft Season Pass Price]])</f>
        <v>5</v>
      </c>
      <c r="M186" s="11">
        <v>2</v>
      </c>
      <c r="N186" s="11">
        <v>3</v>
      </c>
    </row>
    <row r="187" spans="1:14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f>SUM(Tabela1[[#This Row],[Subscription Price]],Tabela1[[#This Row],[EA Play Season Pass Price]],Tabela1[[#This Row],[Minecraft Season Pass Price]])</f>
        <v>65</v>
      </c>
      <c r="M187" s="11">
        <v>5</v>
      </c>
      <c r="N187" s="11">
        <v>60</v>
      </c>
    </row>
    <row r="188" spans="1:14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310</v>
      </c>
      <c r="J188" s="8" t="s">
        <v>19</v>
      </c>
      <c r="K188" s="11">
        <v>20</v>
      </c>
      <c r="L188" s="11">
        <f>SUM(Tabela1[[#This Row],[Subscription Price]],Tabela1[[#This Row],[EA Play Season Pass Price]],Tabela1[[#This Row],[Minecraft Season Pass Price]])</f>
        <v>30</v>
      </c>
      <c r="M188" s="11">
        <v>10</v>
      </c>
      <c r="N188" s="11">
        <v>20</v>
      </c>
    </row>
    <row r="189" spans="1:14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310</v>
      </c>
      <c r="J189" s="8" t="s">
        <v>23</v>
      </c>
      <c r="K189" s="11">
        <v>0</v>
      </c>
      <c r="L189" s="11">
        <f>SUM(Tabela1[[#This Row],[Subscription Price]],Tabela1[[#This Row],[EA Play Season Pass Price]],Tabela1[[#This Row],[Minecraft Season Pass Price]])</f>
        <v>5</v>
      </c>
      <c r="M189" s="11">
        <v>0</v>
      </c>
      <c r="N189" s="11">
        <v>5</v>
      </c>
    </row>
    <row r="190" spans="1:14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f>SUM(Tabela1[[#This Row],[Subscription Price]],Tabela1[[#This Row],[EA Play Season Pass Price]],Tabela1[[#This Row],[Minecraft Season Pass Price]])</f>
        <v>65</v>
      </c>
      <c r="M190" s="11">
        <v>3</v>
      </c>
      <c r="N190" s="11">
        <v>62</v>
      </c>
    </row>
    <row r="191" spans="1:14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310</v>
      </c>
      <c r="J191" s="8" t="s">
        <v>19</v>
      </c>
      <c r="K191" s="11">
        <v>20</v>
      </c>
      <c r="L191" s="11">
        <f>SUM(Tabela1[[#This Row],[Subscription Price]],Tabela1[[#This Row],[EA Play Season Pass Price]],Tabela1[[#This Row],[Minecraft Season Pass Price]])</f>
        <v>30</v>
      </c>
      <c r="M191" s="11">
        <v>15</v>
      </c>
      <c r="N191" s="11">
        <v>15</v>
      </c>
    </row>
    <row r="192" spans="1:14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310</v>
      </c>
      <c r="J192" s="8" t="s">
        <v>23</v>
      </c>
      <c r="K192" s="11">
        <v>0</v>
      </c>
      <c r="L192" s="11">
        <f>SUM(Tabela1[[#This Row],[Subscription Price]],Tabela1[[#This Row],[EA Play Season Pass Price]],Tabela1[[#This Row],[Minecraft Season Pass Price]])</f>
        <v>5</v>
      </c>
      <c r="M192" s="11">
        <v>1</v>
      </c>
      <c r="N192" s="11">
        <v>4</v>
      </c>
    </row>
    <row r="193" spans="1:14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f>SUM(Tabela1[[#This Row],[Subscription Price]],Tabela1[[#This Row],[EA Play Season Pass Price]],Tabela1[[#This Row],[Minecraft Season Pass Price]])</f>
        <v>65</v>
      </c>
      <c r="M193" s="11">
        <v>7</v>
      </c>
      <c r="N193" s="11">
        <v>58</v>
      </c>
    </row>
    <row r="194" spans="1:14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310</v>
      </c>
      <c r="J194" s="8" t="s">
        <v>19</v>
      </c>
      <c r="K194" s="11">
        <v>20</v>
      </c>
      <c r="L194" s="11">
        <f>SUM(Tabela1[[#This Row],[Subscription Price]],Tabela1[[#This Row],[EA Play Season Pass Price]],Tabela1[[#This Row],[Minecraft Season Pass Price]])</f>
        <v>30</v>
      </c>
      <c r="M194" s="11">
        <v>10</v>
      </c>
      <c r="N194" s="11">
        <v>20</v>
      </c>
    </row>
    <row r="195" spans="1:14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310</v>
      </c>
      <c r="J195" s="8" t="s">
        <v>23</v>
      </c>
      <c r="K195" s="11">
        <v>0</v>
      </c>
      <c r="L195" s="11">
        <f>SUM(Tabela1[[#This Row],[Subscription Price]],Tabela1[[#This Row],[EA Play Season Pass Price]],Tabela1[[#This Row],[Minecraft Season Pass Price]])</f>
        <v>5</v>
      </c>
      <c r="M195" s="11">
        <v>0</v>
      </c>
      <c r="N195" s="11">
        <v>5</v>
      </c>
    </row>
    <row r="196" spans="1:14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f>SUM(Tabela1[[#This Row],[Subscription Price]],Tabela1[[#This Row],[EA Play Season Pass Price]],Tabela1[[#This Row],[Minecraft Season Pass Price]])</f>
        <v>65</v>
      </c>
      <c r="M196" s="11">
        <v>20</v>
      </c>
      <c r="N196" s="11">
        <v>45</v>
      </c>
    </row>
    <row r="197" spans="1:14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310</v>
      </c>
      <c r="J197" s="8" t="s">
        <v>19</v>
      </c>
      <c r="K197" s="11">
        <v>20</v>
      </c>
      <c r="L197" s="11">
        <f>SUM(Tabela1[[#This Row],[Subscription Price]],Tabela1[[#This Row],[EA Play Season Pass Price]],Tabela1[[#This Row],[Minecraft Season Pass Price]])</f>
        <v>30</v>
      </c>
      <c r="M197" s="11">
        <v>15</v>
      </c>
      <c r="N197" s="11">
        <v>15</v>
      </c>
    </row>
    <row r="198" spans="1:14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310</v>
      </c>
      <c r="J198" s="8" t="s">
        <v>23</v>
      </c>
      <c r="K198" s="11">
        <v>0</v>
      </c>
      <c r="L198" s="11">
        <f>SUM(Tabela1[[#This Row],[Subscription Price]],Tabela1[[#This Row],[EA Play Season Pass Price]],Tabela1[[#This Row],[Minecraft Season Pass Price]])</f>
        <v>5</v>
      </c>
      <c r="M198" s="11">
        <v>1</v>
      </c>
      <c r="N198" s="11">
        <v>4</v>
      </c>
    </row>
    <row r="199" spans="1:14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f>SUM(Tabela1[[#This Row],[Subscription Price]],Tabela1[[#This Row],[EA Play Season Pass Price]],Tabela1[[#This Row],[Minecraft Season Pass Price]])</f>
        <v>65</v>
      </c>
      <c r="M199" s="11">
        <v>3</v>
      </c>
      <c r="N199" s="11">
        <v>62</v>
      </c>
    </row>
    <row r="200" spans="1:14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310</v>
      </c>
      <c r="J200" s="8" t="s">
        <v>19</v>
      </c>
      <c r="K200" s="11">
        <v>20</v>
      </c>
      <c r="L200" s="11">
        <f>SUM(Tabela1[[#This Row],[Subscription Price]],Tabela1[[#This Row],[EA Play Season Pass Price]],Tabela1[[#This Row],[Minecraft Season Pass Price]])</f>
        <v>30</v>
      </c>
      <c r="M200" s="11">
        <v>10</v>
      </c>
      <c r="N200" s="11">
        <v>20</v>
      </c>
    </row>
    <row r="201" spans="1:14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310</v>
      </c>
      <c r="J201" s="8" t="s">
        <v>23</v>
      </c>
      <c r="K201" s="11">
        <v>0</v>
      </c>
      <c r="L201" s="11">
        <f>SUM(Tabela1[[#This Row],[Subscription Price]],Tabela1[[#This Row],[EA Play Season Pass Price]],Tabela1[[#This Row],[Minecraft Season Pass Price]])</f>
        <v>5</v>
      </c>
      <c r="M201" s="11">
        <v>0</v>
      </c>
      <c r="N201" s="11">
        <v>5</v>
      </c>
    </row>
    <row r="202" spans="1:14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f>SUM(Tabela1[[#This Row],[Subscription Price]],Tabela1[[#This Row],[EA Play Season Pass Price]],Tabela1[[#This Row],[Minecraft Season Pass Price]])</f>
        <v>65</v>
      </c>
      <c r="M202" s="11">
        <v>15</v>
      </c>
      <c r="N202" s="11">
        <v>50</v>
      </c>
    </row>
    <row r="203" spans="1:14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310</v>
      </c>
      <c r="J203" s="8" t="s">
        <v>19</v>
      </c>
      <c r="K203" s="11">
        <v>20</v>
      </c>
      <c r="L203" s="11">
        <f>SUM(Tabela1[[#This Row],[Subscription Price]],Tabela1[[#This Row],[EA Play Season Pass Price]],Tabela1[[#This Row],[Minecraft Season Pass Price]])</f>
        <v>30</v>
      </c>
      <c r="M203" s="11">
        <v>15</v>
      </c>
      <c r="N203" s="11">
        <v>15</v>
      </c>
    </row>
    <row r="204" spans="1:14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310</v>
      </c>
      <c r="J204" s="8" t="s">
        <v>23</v>
      </c>
      <c r="K204" s="11">
        <v>0</v>
      </c>
      <c r="L204" s="11">
        <f>SUM(Tabela1[[#This Row],[Subscription Price]],Tabela1[[#This Row],[EA Play Season Pass Price]],Tabela1[[#This Row],[Minecraft Season Pass Price]])</f>
        <v>5</v>
      </c>
      <c r="M204" s="11">
        <v>1</v>
      </c>
      <c r="N204" s="11">
        <v>4</v>
      </c>
    </row>
    <row r="205" spans="1:14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f>SUM(Tabela1[[#This Row],[Subscription Price]],Tabela1[[#This Row],[EA Play Season Pass Price]],Tabela1[[#This Row],[Minecraft Season Pass Price]])</f>
        <v>65</v>
      </c>
      <c r="M205" s="11">
        <v>7</v>
      </c>
      <c r="N205" s="11">
        <v>58</v>
      </c>
    </row>
    <row r="206" spans="1:14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310</v>
      </c>
      <c r="J206" s="8" t="s">
        <v>19</v>
      </c>
      <c r="K206" s="11">
        <v>20</v>
      </c>
      <c r="L206" s="11">
        <f>SUM(Tabela1[[#This Row],[Subscription Price]],Tabela1[[#This Row],[EA Play Season Pass Price]],Tabela1[[#This Row],[Minecraft Season Pass Price]])</f>
        <v>30</v>
      </c>
      <c r="M206" s="11">
        <v>10</v>
      </c>
      <c r="N206" s="11">
        <v>20</v>
      </c>
    </row>
    <row r="207" spans="1:14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310</v>
      </c>
      <c r="J207" s="8" t="s">
        <v>23</v>
      </c>
      <c r="K207" s="11">
        <v>0</v>
      </c>
      <c r="L207" s="11">
        <f>SUM(Tabela1[[#This Row],[Subscription Price]],Tabela1[[#This Row],[EA Play Season Pass Price]],Tabela1[[#This Row],[Minecraft Season Pass Price]])</f>
        <v>5</v>
      </c>
      <c r="M207" s="11">
        <v>0</v>
      </c>
      <c r="N207" s="11">
        <v>5</v>
      </c>
    </row>
    <row r="208" spans="1:14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f>SUM(Tabela1[[#This Row],[Subscription Price]],Tabela1[[#This Row],[EA Play Season Pass Price]],Tabela1[[#This Row],[Minecraft Season Pass Price]])</f>
        <v>65</v>
      </c>
      <c r="M208" s="11">
        <v>7</v>
      </c>
      <c r="N208" s="11">
        <v>58</v>
      </c>
    </row>
    <row r="209" spans="1:14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310</v>
      </c>
      <c r="J209" s="8" t="s">
        <v>19</v>
      </c>
      <c r="K209" s="11">
        <v>20</v>
      </c>
      <c r="L209" s="11">
        <f>SUM(Tabela1[[#This Row],[Subscription Price]],Tabela1[[#This Row],[EA Play Season Pass Price]],Tabela1[[#This Row],[Minecraft Season Pass Price]])</f>
        <v>30</v>
      </c>
      <c r="M209" s="11">
        <v>10</v>
      </c>
      <c r="N209" s="11">
        <v>20</v>
      </c>
    </row>
    <row r="210" spans="1:14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310</v>
      </c>
      <c r="J210" s="8" t="s">
        <v>23</v>
      </c>
      <c r="K210" s="11">
        <v>0</v>
      </c>
      <c r="L210" s="11">
        <f>SUM(Tabela1[[#This Row],[Subscription Price]],Tabela1[[#This Row],[EA Play Season Pass Price]],Tabela1[[#This Row],[Minecraft Season Pass Price]])</f>
        <v>5</v>
      </c>
      <c r="M210" s="11">
        <v>1</v>
      </c>
      <c r="N210" s="11">
        <v>4</v>
      </c>
    </row>
    <row r="211" spans="1:14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f>SUM(Tabela1[[#This Row],[Subscription Price]],Tabela1[[#This Row],[EA Play Season Pass Price]],Tabela1[[#This Row],[Minecraft Season Pass Price]])</f>
        <v>65</v>
      </c>
      <c r="M211" s="11">
        <v>15</v>
      </c>
      <c r="N211" s="11">
        <v>50</v>
      </c>
    </row>
    <row r="212" spans="1:14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310</v>
      </c>
      <c r="J212" s="8" t="s">
        <v>19</v>
      </c>
      <c r="K212" s="11">
        <v>20</v>
      </c>
      <c r="L212" s="11">
        <f>SUM(Tabela1[[#This Row],[Subscription Price]],Tabela1[[#This Row],[EA Play Season Pass Price]],Tabela1[[#This Row],[Minecraft Season Pass Price]])</f>
        <v>30</v>
      </c>
      <c r="M212" s="11">
        <v>5</v>
      </c>
      <c r="N212" s="11">
        <v>25</v>
      </c>
    </row>
    <row r="213" spans="1:14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310</v>
      </c>
      <c r="J213" s="8" t="s">
        <v>23</v>
      </c>
      <c r="K213" s="11">
        <v>0</v>
      </c>
      <c r="L213" s="11">
        <f>SUM(Tabela1[[#This Row],[Subscription Price]],Tabela1[[#This Row],[EA Play Season Pass Price]],Tabela1[[#This Row],[Minecraft Season Pass Price]])</f>
        <v>5</v>
      </c>
      <c r="M213" s="11">
        <v>0</v>
      </c>
      <c r="N213" s="11">
        <v>5</v>
      </c>
    </row>
    <row r="214" spans="1:14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f>SUM(Tabela1[[#This Row],[Subscription Price]],Tabela1[[#This Row],[EA Play Season Pass Price]],Tabela1[[#This Row],[Minecraft Season Pass Price]])</f>
        <v>65</v>
      </c>
      <c r="M214" s="11">
        <v>20</v>
      </c>
      <c r="N214" s="11">
        <v>45</v>
      </c>
    </row>
    <row r="215" spans="1:14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310</v>
      </c>
      <c r="J215" s="8" t="s">
        <v>19</v>
      </c>
      <c r="K215" s="11">
        <v>20</v>
      </c>
      <c r="L215" s="11">
        <f>SUM(Tabela1[[#This Row],[Subscription Price]],Tabela1[[#This Row],[EA Play Season Pass Price]],Tabela1[[#This Row],[Minecraft Season Pass Price]])</f>
        <v>30</v>
      </c>
      <c r="M215" s="11">
        <v>12</v>
      </c>
      <c r="N215" s="11">
        <v>18</v>
      </c>
    </row>
    <row r="216" spans="1:14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310</v>
      </c>
      <c r="J216" s="8" t="s">
        <v>23</v>
      </c>
      <c r="K216" s="11">
        <v>0</v>
      </c>
      <c r="L216" s="11">
        <f>SUM(Tabela1[[#This Row],[Subscription Price]],Tabela1[[#This Row],[EA Play Season Pass Price]],Tabela1[[#This Row],[Minecraft Season Pass Price]])</f>
        <v>5</v>
      </c>
      <c r="M216" s="11">
        <v>2</v>
      </c>
      <c r="N216" s="11">
        <v>3</v>
      </c>
    </row>
    <row r="217" spans="1:14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f>SUM(Tabela1[[#This Row],[Subscription Price]],Tabela1[[#This Row],[EA Play Season Pass Price]],Tabela1[[#This Row],[Minecraft Season Pass Price]])</f>
        <v>65</v>
      </c>
      <c r="M217" s="11">
        <v>5</v>
      </c>
      <c r="N217" s="11">
        <v>60</v>
      </c>
    </row>
    <row r="218" spans="1:14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310</v>
      </c>
      <c r="J218" s="8" t="s">
        <v>19</v>
      </c>
      <c r="K218" s="11">
        <v>20</v>
      </c>
      <c r="L218" s="11">
        <f>SUM(Tabela1[[#This Row],[Subscription Price]],Tabela1[[#This Row],[EA Play Season Pass Price]],Tabela1[[#This Row],[Minecraft Season Pass Price]])</f>
        <v>30</v>
      </c>
      <c r="M218" s="11">
        <v>10</v>
      </c>
      <c r="N218" s="11">
        <v>20</v>
      </c>
    </row>
    <row r="219" spans="1:14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310</v>
      </c>
      <c r="J219" s="8" t="s">
        <v>23</v>
      </c>
      <c r="K219" s="11">
        <v>0</v>
      </c>
      <c r="L219" s="11">
        <f>SUM(Tabela1[[#This Row],[Subscription Price]],Tabela1[[#This Row],[EA Play Season Pass Price]],Tabela1[[#This Row],[Minecraft Season Pass Price]])</f>
        <v>5</v>
      </c>
      <c r="M219" s="11">
        <v>0</v>
      </c>
      <c r="N219" s="11">
        <v>5</v>
      </c>
    </row>
    <row r="220" spans="1:14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f>SUM(Tabela1[[#This Row],[Subscription Price]],Tabela1[[#This Row],[EA Play Season Pass Price]],Tabela1[[#This Row],[Minecraft Season Pass Price]])</f>
        <v>65</v>
      </c>
      <c r="M220" s="11">
        <v>3</v>
      </c>
      <c r="N220" s="11">
        <v>62</v>
      </c>
    </row>
    <row r="221" spans="1:14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310</v>
      </c>
      <c r="J221" s="8" t="s">
        <v>19</v>
      </c>
      <c r="K221" s="11">
        <v>20</v>
      </c>
      <c r="L221" s="11">
        <f>SUM(Tabela1[[#This Row],[Subscription Price]],Tabela1[[#This Row],[EA Play Season Pass Price]],Tabela1[[#This Row],[Minecraft Season Pass Price]])</f>
        <v>30</v>
      </c>
      <c r="M221" s="11">
        <v>15</v>
      </c>
      <c r="N221" s="11">
        <v>15</v>
      </c>
    </row>
    <row r="222" spans="1:14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310</v>
      </c>
      <c r="J222" s="8" t="s">
        <v>23</v>
      </c>
      <c r="K222" s="11">
        <v>0</v>
      </c>
      <c r="L222" s="11">
        <f>SUM(Tabela1[[#This Row],[Subscription Price]],Tabela1[[#This Row],[EA Play Season Pass Price]],Tabela1[[#This Row],[Minecraft Season Pass Price]])</f>
        <v>5</v>
      </c>
      <c r="M222" s="11">
        <v>1</v>
      </c>
      <c r="N222" s="11">
        <v>4</v>
      </c>
    </row>
    <row r="223" spans="1:14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f>SUM(Tabela1[[#This Row],[Subscription Price]],Tabela1[[#This Row],[EA Play Season Pass Price]],Tabela1[[#This Row],[Minecraft Season Pass Price]])</f>
        <v>65</v>
      </c>
      <c r="M223" s="11">
        <v>7</v>
      </c>
      <c r="N223" s="11">
        <v>58</v>
      </c>
    </row>
    <row r="224" spans="1:14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310</v>
      </c>
      <c r="J224" s="8" t="s">
        <v>19</v>
      </c>
      <c r="K224" s="11">
        <v>20</v>
      </c>
      <c r="L224" s="11">
        <f>SUM(Tabela1[[#This Row],[Subscription Price]],Tabela1[[#This Row],[EA Play Season Pass Price]],Tabela1[[#This Row],[Minecraft Season Pass Price]])</f>
        <v>30</v>
      </c>
      <c r="M224" s="11">
        <v>10</v>
      </c>
      <c r="N224" s="11">
        <v>20</v>
      </c>
    </row>
    <row r="225" spans="1:14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310</v>
      </c>
      <c r="J225" s="8" t="s">
        <v>23</v>
      </c>
      <c r="K225" s="11">
        <v>0</v>
      </c>
      <c r="L225" s="11">
        <f>SUM(Tabela1[[#This Row],[Subscription Price]],Tabela1[[#This Row],[EA Play Season Pass Price]],Tabela1[[#This Row],[Minecraft Season Pass Price]])</f>
        <v>5</v>
      </c>
      <c r="M225" s="11">
        <v>0</v>
      </c>
      <c r="N225" s="11">
        <v>5</v>
      </c>
    </row>
    <row r="226" spans="1:14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f>SUM(Tabela1[[#This Row],[Subscription Price]],Tabela1[[#This Row],[EA Play Season Pass Price]],Tabela1[[#This Row],[Minecraft Season Pass Price]])</f>
        <v>65</v>
      </c>
      <c r="M226" s="11">
        <v>20</v>
      </c>
      <c r="N226" s="11">
        <v>45</v>
      </c>
    </row>
    <row r="227" spans="1:14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310</v>
      </c>
      <c r="J227" s="8" t="s">
        <v>19</v>
      </c>
      <c r="K227" s="11">
        <v>20</v>
      </c>
      <c r="L227" s="11">
        <f>SUM(Tabela1[[#This Row],[Subscription Price]],Tabela1[[#This Row],[EA Play Season Pass Price]],Tabela1[[#This Row],[Minecraft Season Pass Price]])</f>
        <v>30</v>
      </c>
      <c r="M227" s="11">
        <v>15</v>
      </c>
      <c r="N227" s="11">
        <v>15</v>
      </c>
    </row>
    <row r="228" spans="1:14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310</v>
      </c>
      <c r="J228" s="8" t="s">
        <v>23</v>
      </c>
      <c r="K228" s="11">
        <v>0</v>
      </c>
      <c r="L228" s="11">
        <f>SUM(Tabela1[[#This Row],[Subscription Price]],Tabela1[[#This Row],[EA Play Season Pass Price]],Tabela1[[#This Row],[Minecraft Season Pass Price]])</f>
        <v>5</v>
      </c>
      <c r="M228" s="11">
        <v>1</v>
      </c>
      <c r="N228" s="11">
        <v>4</v>
      </c>
    </row>
    <row r="229" spans="1:14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f>SUM(Tabela1[[#This Row],[Subscription Price]],Tabela1[[#This Row],[EA Play Season Pass Price]],Tabela1[[#This Row],[Minecraft Season Pass Price]])</f>
        <v>65</v>
      </c>
      <c r="M229" s="11">
        <v>3</v>
      </c>
      <c r="N229" s="11">
        <v>62</v>
      </c>
    </row>
    <row r="230" spans="1:14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310</v>
      </c>
      <c r="J230" s="8" t="s">
        <v>19</v>
      </c>
      <c r="K230" s="11">
        <v>20</v>
      </c>
      <c r="L230" s="11">
        <f>SUM(Tabela1[[#This Row],[Subscription Price]],Tabela1[[#This Row],[EA Play Season Pass Price]],Tabela1[[#This Row],[Minecraft Season Pass Price]])</f>
        <v>30</v>
      </c>
      <c r="M230" s="11">
        <v>10</v>
      </c>
      <c r="N230" s="11">
        <v>20</v>
      </c>
    </row>
    <row r="231" spans="1:14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310</v>
      </c>
      <c r="J231" s="8" t="s">
        <v>23</v>
      </c>
      <c r="K231" s="11">
        <v>0</v>
      </c>
      <c r="L231" s="11">
        <f>SUM(Tabela1[[#This Row],[Subscription Price]],Tabela1[[#This Row],[EA Play Season Pass Price]],Tabela1[[#This Row],[Minecraft Season Pass Price]])</f>
        <v>5</v>
      </c>
      <c r="M231" s="11">
        <v>0</v>
      </c>
      <c r="N231" s="11">
        <v>5</v>
      </c>
    </row>
    <row r="232" spans="1:14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f>SUM(Tabela1[[#This Row],[Subscription Price]],Tabela1[[#This Row],[EA Play Season Pass Price]],Tabela1[[#This Row],[Minecraft Season Pass Price]])</f>
        <v>65</v>
      </c>
      <c r="M232" s="11">
        <v>15</v>
      </c>
      <c r="N232" s="11">
        <v>50</v>
      </c>
    </row>
    <row r="233" spans="1:14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310</v>
      </c>
      <c r="J233" s="8" t="s">
        <v>19</v>
      </c>
      <c r="K233" s="11">
        <v>20</v>
      </c>
      <c r="L233" s="11">
        <f>SUM(Tabela1[[#This Row],[Subscription Price]],Tabela1[[#This Row],[EA Play Season Pass Price]],Tabela1[[#This Row],[Minecraft Season Pass Price]])</f>
        <v>30</v>
      </c>
      <c r="M233" s="11">
        <v>15</v>
      </c>
      <c r="N233" s="11">
        <v>15</v>
      </c>
    </row>
    <row r="234" spans="1:14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310</v>
      </c>
      <c r="J234" s="8" t="s">
        <v>23</v>
      </c>
      <c r="K234" s="11">
        <v>0</v>
      </c>
      <c r="L234" s="11">
        <f>SUM(Tabela1[[#This Row],[Subscription Price]],Tabela1[[#This Row],[EA Play Season Pass Price]],Tabela1[[#This Row],[Minecraft Season Pass Price]])</f>
        <v>5</v>
      </c>
      <c r="M234" s="11">
        <v>1</v>
      </c>
      <c r="N234" s="11">
        <v>4</v>
      </c>
    </row>
    <row r="235" spans="1:14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f>SUM(Tabela1[[#This Row],[Subscription Price]],Tabela1[[#This Row],[EA Play Season Pass Price]],Tabela1[[#This Row],[Minecraft Season Pass Price]])</f>
        <v>65</v>
      </c>
      <c r="M235" s="11">
        <v>7</v>
      </c>
      <c r="N235" s="11">
        <v>58</v>
      </c>
    </row>
    <row r="236" spans="1:14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310</v>
      </c>
      <c r="J236" s="8" t="s">
        <v>19</v>
      </c>
      <c r="K236" s="11">
        <v>20</v>
      </c>
      <c r="L236" s="11">
        <f>SUM(Tabela1[[#This Row],[Subscription Price]],Tabela1[[#This Row],[EA Play Season Pass Price]],Tabela1[[#This Row],[Minecraft Season Pass Price]])</f>
        <v>30</v>
      </c>
      <c r="M236" s="11">
        <v>10</v>
      </c>
      <c r="N236" s="11">
        <v>20</v>
      </c>
    </row>
    <row r="237" spans="1:14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310</v>
      </c>
      <c r="J237" s="8" t="s">
        <v>23</v>
      </c>
      <c r="K237" s="11">
        <v>0</v>
      </c>
      <c r="L237" s="11">
        <f>SUM(Tabela1[[#This Row],[Subscription Price]],Tabela1[[#This Row],[EA Play Season Pass Price]],Tabela1[[#This Row],[Minecraft Season Pass Price]])</f>
        <v>5</v>
      </c>
      <c r="M237" s="11">
        <v>0</v>
      </c>
      <c r="N237" s="11">
        <v>5</v>
      </c>
    </row>
    <row r="238" spans="1:14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f>SUM(Tabela1[[#This Row],[Subscription Price]],Tabela1[[#This Row],[EA Play Season Pass Price]],Tabela1[[#This Row],[Minecraft Season Pass Price]])</f>
        <v>65</v>
      </c>
      <c r="M238" s="11">
        <v>15</v>
      </c>
      <c r="N238" s="11">
        <v>50</v>
      </c>
    </row>
    <row r="239" spans="1:14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310</v>
      </c>
      <c r="J239" s="8" t="s">
        <v>19</v>
      </c>
      <c r="K239" s="11">
        <v>20</v>
      </c>
      <c r="L239" s="11">
        <f>SUM(Tabela1[[#This Row],[Subscription Price]],Tabela1[[#This Row],[EA Play Season Pass Price]],Tabela1[[#This Row],[Minecraft Season Pass Price]])</f>
        <v>30</v>
      </c>
      <c r="M239" s="11">
        <v>12</v>
      </c>
      <c r="N239" s="11">
        <v>18</v>
      </c>
    </row>
    <row r="240" spans="1:14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310</v>
      </c>
      <c r="J240" s="8" t="s">
        <v>23</v>
      </c>
      <c r="K240" s="11">
        <v>0</v>
      </c>
      <c r="L240" s="11">
        <f>SUM(Tabela1[[#This Row],[Subscription Price]],Tabela1[[#This Row],[EA Play Season Pass Price]],Tabela1[[#This Row],[Minecraft Season Pass Price]])</f>
        <v>5</v>
      </c>
      <c r="M240" s="11">
        <v>2</v>
      </c>
      <c r="N240" s="11">
        <v>3</v>
      </c>
    </row>
    <row r="241" spans="1:14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f>SUM(Tabela1[[#This Row],[Subscription Price]],Tabela1[[#This Row],[EA Play Season Pass Price]],Tabela1[[#This Row],[Minecraft Season Pass Price]])</f>
        <v>65</v>
      </c>
      <c r="M241" s="11">
        <v>5</v>
      </c>
      <c r="N241" s="11">
        <v>60</v>
      </c>
    </row>
    <row r="242" spans="1:14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310</v>
      </c>
      <c r="J242" s="8" t="s">
        <v>19</v>
      </c>
      <c r="K242" s="11">
        <v>20</v>
      </c>
      <c r="L242" s="11">
        <f>SUM(Tabela1[[#This Row],[Subscription Price]],Tabela1[[#This Row],[EA Play Season Pass Price]],Tabela1[[#This Row],[Minecraft Season Pass Price]])</f>
        <v>30</v>
      </c>
      <c r="M242" s="11">
        <v>10</v>
      </c>
      <c r="N242" s="11">
        <v>20</v>
      </c>
    </row>
    <row r="243" spans="1:14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310</v>
      </c>
      <c r="J243" s="8" t="s">
        <v>23</v>
      </c>
      <c r="K243" s="11">
        <v>0</v>
      </c>
      <c r="L243" s="11">
        <f>SUM(Tabela1[[#This Row],[Subscription Price]],Tabela1[[#This Row],[EA Play Season Pass Price]],Tabela1[[#This Row],[Minecraft Season Pass Price]])</f>
        <v>5</v>
      </c>
      <c r="M243" s="11">
        <v>0</v>
      </c>
      <c r="N243" s="11">
        <v>5</v>
      </c>
    </row>
    <row r="244" spans="1:14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f>SUM(Tabela1[[#This Row],[Subscription Price]],Tabela1[[#This Row],[EA Play Season Pass Price]],Tabela1[[#This Row],[Minecraft Season Pass Price]])</f>
        <v>65</v>
      </c>
      <c r="M244" s="11">
        <v>3</v>
      </c>
      <c r="N244" s="11">
        <v>62</v>
      </c>
    </row>
    <row r="245" spans="1:14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310</v>
      </c>
      <c r="J245" s="8" t="s">
        <v>19</v>
      </c>
      <c r="K245" s="11">
        <v>20</v>
      </c>
      <c r="L245" s="11">
        <f>SUM(Tabela1[[#This Row],[Subscription Price]],Tabela1[[#This Row],[EA Play Season Pass Price]],Tabela1[[#This Row],[Minecraft Season Pass Price]])</f>
        <v>30</v>
      </c>
      <c r="M245" s="11">
        <v>15</v>
      </c>
      <c r="N245" s="11">
        <v>15</v>
      </c>
    </row>
    <row r="246" spans="1:14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310</v>
      </c>
      <c r="J246" s="8" t="s">
        <v>23</v>
      </c>
      <c r="K246" s="11">
        <v>0</v>
      </c>
      <c r="L246" s="11">
        <f>SUM(Tabela1[[#This Row],[Subscription Price]],Tabela1[[#This Row],[EA Play Season Pass Price]],Tabela1[[#This Row],[Minecraft Season Pass Price]])</f>
        <v>5</v>
      </c>
      <c r="M246" s="11">
        <v>1</v>
      </c>
      <c r="N246" s="11">
        <v>4</v>
      </c>
    </row>
    <row r="247" spans="1:14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f>SUM(Tabela1[[#This Row],[Subscription Price]],Tabela1[[#This Row],[EA Play Season Pass Price]],Tabela1[[#This Row],[Minecraft Season Pass Price]])</f>
        <v>65</v>
      </c>
      <c r="M247" s="11">
        <v>7</v>
      </c>
      <c r="N247" s="11">
        <v>58</v>
      </c>
    </row>
    <row r="248" spans="1:14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310</v>
      </c>
      <c r="J248" s="8" t="s">
        <v>19</v>
      </c>
      <c r="K248" s="11">
        <v>20</v>
      </c>
      <c r="L248" s="11">
        <f>SUM(Tabela1[[#This Row],[Subscription Price]],Tabela1[[#This Row],[EA Play Season Pass Price]],Tabela1[[#This Row],[Minecraft Season Pass Price]])</f>
        <v>30</v>
      </c>
      <c r="M248" s="11">
        <v>10</v>
      </c>
      <c r="N248" s="11">
        <v>20</v>
      </c>
    </row>
    <row r="249" spans="1:14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310</v>
      </c>
      <c r="J249" s="8" t="s">
        <v>23</v>
      </c>
      <c r="K249" s="11">
        <v>0</v>
      </c>
      <c r="L249" s="11">
        <f>SUM(Tabela1[[#This Row],[Subscription Price]],Tabela1[[#This Row],[EA Play Season Pass Price]],Tabela1[[#This Row],[Minecraft Season Pass Price]])</f>
        <v>5</v>
      </c>
      <c r="M249" s="11">
        <v>0</v>
      </c>
      <c r="N249" s="11">
        <v>5</v>
      </c>
    </row>
    <row r="250" spans="1:14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f>SUM(Tabela1[[#This Row],[Subscription Price]],Tabela1[[#This Row],[EA Play Season Pass Price]],Tabela1[[#This Row],[Minecraft Season Pass Price]])</f>
        <v>65</v>
      </c>
      <c r="M250" s="11">
        <v>20</v>
      </c>
      <c r="N250" s="11">
        <v>45</v>
      </c>
    </row>
    <row r="251" spans="1:14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310</v>
      </c>
      <c r="J251" s="8" t="s">
        <v>19</v>
      </c>
      <c r="K251" s="11">
        <v>20</v>
      </c>
      <c r="L251" s="11">
        <f>SUM(Tabela1[[#This Row],[Subscription Price]],Tabela1[[#This Row],[EA Play Season Pass Price]],Tabela1[[#This Row],[Minecraft Season Pass Price]])</f>
        <v>30</v>
      </c>
      <c r="M251" s="11">
        <v>15</v>
      </c>
      <c r="N251" s="11">
        <v>15</v>
      </c>
    </row>
    <row r="252" spans="1:14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310</v>
      </c>
      <c r="J252" s="8" t="s">
        <v>23</v>
      </c>
      <c r="K252" s="11">
        <v>0</v>
      </c>
      <c r="L252" s="11">
        <f>SUM(Tabela1[[#This Row],[Subscription Price]],Tabela1[[#This Row],[EA Play Season Pass Price]],Tabela1[[#This Row],[Minecraft Season Pass Price]])</f>
        <v>5</v>
      </c>
      <c r="M252" s="11">
        <v>1</v>
      </c>
      <c r="N252" s="11">
        <v>4</v>
      </c>
    </row>
    <row r="253" spans="1:14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f>SUM(Tabela1[[#This Row],[Subscription Price]],Tabela1[[#This Row],[EA Play Season Pass Price]],Tabela1[[#This Row],[Minecraft Season Pass Price]])</f>
        <v>65</v>
      </c>
      <c r="M253" s="11">
        <v>3</v>
      </c>
      <c r="N253" s="11">
        <v>62</v>
      </c>
    </row>
    <row r="254" spans="1:14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310</v>
      </c>
      <c r="J254" s="8" t="s">
        <v>19</v>
      </c>
      <c r="K254" s="11">
        <v>20</v>
      </c>
      <c r="L254" s="11">
        <f>SUM(Tabela1[[#This Row],[Subscription Price]],Tabela1[[#This Row],[EA Play Season Pass Price]],Tabela1[[#This Row],[Minecraft Season Pass Price]])</f>
        <v>30</v>
      </c>
      <c r="M254" s="11">
        <v>10</v>
      </c>
      <c r="N254" s="11">
        <v>20</v>
      </c>
    </row>
    <row r="255" spans="1:14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310</v>
      </c>
      <c r="J255" s="8" t="s">
        <v>23</v>
      </c>
      <c r="K255" s="11">
        <v>0</v>
      </c>
      <c r="L255" s="11">
        <f>SUM(Tabela1[[#This Row],[Subscription Price]],Tabela1[[#This Row],[EA Play Season Pass Price]],Tabela1[[#This Row],[Minecraft Season Pass Price]])</f>
        <v>5</v>
      </c>
      <c r="M255" s="11">
        <v>0</v>
      </c>
      <c r="N255" s="11">
        <v>5</v>
      </c>
    </row>
    <row r="256" spans="1:14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f>SUM(Tabela1[[#This Row],[Subscription Price]],Tabela1[[#This Row],[EA Play Season Pass Price]],Tabela1[[#This Row],[Minecraft Season Pass Price]])</f>
        <v>65</v>
      </c>
      <c r="M256" s="11">
        <v>15</v>
      </c>
      <c r="N256" s="11">
        <v>50</v>
      </c>
    </row>
    <row r="257" spans="1:14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310</v>
      </c>
      <c r="J257" s="8" t="s">
        <v>23</v>
      </c>
      <c r="K257" s="11">
        <v>0</v>
      </c>
      <c r="L257" s="11">
        <f>SUM(Tabela1[[#This Row],[Subscription Price]],Tabela1[[#This Row],[EA Play Season Pass Price]],Tabela1[[#This Row],[Minecraft Season Pass Price]])</f>
        <v>5</v>
      </c>
      <c r="M257" s="11">
        <v>0</v>
      </c>
      <c r="N257" s="11">
        <v>5</v>
      </c>
    </row>
    <row r="258" spans="1:14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f>SUM(Tabela1[[#This Row],[Subscription Price]],Tabela1[[#This Row],[EA Play Season Pass Price]],Tabela1[[#This Row],[Minecraft Season Pass Price]])</f>
        <v>65</v>
      </c>
      <c r="M258" s="11">
        <v>7</v>
      </c>
      <c r="N258" s="11">
        <v>58</v>
      </c>
    </row>
    <row r="259" spans="1:14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310</v>
      </c>
      <c r="J259" s="8" t="s">
        <v>19</v>
      </c>
      <c r="K259" s="11">
        <v>20</v>
      </c>
      <c r="L259" s="11">
        <f>SUM(Tabela1[[#This Row],[Subscription Price]],Tabela1[[#This Row],[EA Play Season Pass Price]],Tabela1[[#This Row],[Minecraft Season Pass Price]])</f>
        <v>30</v>
      </c>
      <c r="M259" s="11">
        <v>10</v>
      </c>
      <c r="N259" s="11">
        <v>20</v>
      </c>
    </row>
    <row r="260" spans="1:14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310</v>
      </c>
      <c r="J260" s="8" t="s">
        <v>23</v>
      </c>
      <c r="K260" s="11">
        <v>0</v>
      </c>
      <c r="L260" s="11">
        <f>SUM(Tabela1[[#This Row],[Subscription Price]],Tabela1[[#This Row],[EA Play Season Pass Price]],Tabela1[[#This Row],[Minecraft Season Pass Price]])</f>
        <v>5</v>
      </c>
      <c r="M260" s="11">
        <v>1</v>
      </c>
      <c r="N260" s="11">
        <v>4</v>
      </c>
    </row>
    <row r="261" spans="1:14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f>SUM(Tabela1[[#This Row],[Subscription Price]],Tabela1[[#This Row],[EA Play Season Pass Price]],Tabela1[[#This Row],[Minecraft Season Pass Price]])</f>
        <v>65</v>
      </c>
      <c r="M261" s="11">
        <v>15</v>
      </c>
      <c r="N261" s="11">
        <v>50</v>
      </c>
    </row>
    <row r="262" spans="1:14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310</v>
      </c>
      <c r="J262" s="8" t="s">
        <v>19</v>
      </c>
      <c r="K262" s="11">
        <v>20</v>
      </c>
      <c r="L262" s="11">
        <f>SUM(Tabela1[[#This Row],[Subscription Price]],Tabela1[[#This Row],[EA Play Season Pass Price]],Tabela1[[#This Row],[Minecraft Season Pass Price]])</f>
        <v>30</v>
      </c>
      <c r="M262" s="11">
        <v>5</v>
      </c>
      <c r="N262" s="11">
        <v>25</v>
      </c>
    </row>
    <row r="263" spans="1:14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310</v>
      </c>
      <c r="J263" s="8" t="s">
        <v>23</v>
      </c>
      <c r="K263" s="11">
        <v>0</v>
      </c>
      <c r="L263" s="11">
        <f>SUM(Tabela1[[#This Row],[Subscription Price]],Tabela1[[#This Row],[EA Play Season Pass Price]],Tabela1[[#This Row],[Minecraft Season Pass Price]])</f>
        <v>5</v>
      </c>
      <c r="M263" s="11">
        <v>0</v>
      </c>
      <c r="N263" s="11">
        <v>5</v>
      </c>
    </row>
    <row r="264" spans="1:14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f>SUM(Tabela1[[#This Row],[Subscription Price]],Tabela1[[#This Row],[EA Play Season Pass Price]],Tabela1[[#This Row],[Minecraft Season Pass Price]])</f>
        <v>65</v>
      </c>
      <c r="M264" s="11">
        <v>20</v>
      </c>
      <c r="N264" s="11">
        <v>45</v>
      </c>
    </row>
    <row r="265" spans="1:14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310</v>
      </c>
      <c r="J265" s="8" t="s">
        <v>19</v>
      </c>
      <c r="K265" s="11">
        <v>20</v>
      </c>
      <c r="L265" s="11">
        <f>SUM(Tabela1[[#This Row],[Subscription Price]],Tabela1[[#This Row],[EA Play Season Pass Price]],Tabela1[[#This Row],[Minecraft Season Pass Price]])</f>
        <v>30</v>
      </c>
      <c r="M265" s="11">
        <v>12</v>
      </c>
      <c r="N265" s="11">
        <v>18</v>
      </c>
    </row>
    <row r="266" spans="1:14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310</v>
      </c>
      <c r="J266" s="8" t="s">
        <v>23</v>
      </c>
      <c r="K266" s="11">
        <v>0</v>
      </c>
      <c r="L266" s="11">
        <f>SUM(Tabela1[[#This Row],[Subscription Price]],Tabela1[[#This Row],[EA Play Season Pass Price]],Tabela1[[#This Row],[Minecraft Season Pass Price]])</f>
        <v>5</v>
      </c>
      <c r="M266" s="11">
        <v>2</v>
      </c>
      <c r="N266" s="11">
        <v>3</v>
      </c>
    </row>
    <row r="267" spans="1:14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f>SUM(Tabela1[[#This Row],[Subscription Price]],Tabela1[[#This Row],[EA Play Season Pass Price]],Tabela1[[#This Row],[Minecraft Season Pass Price]])</f>
        <v>65</v>
      </c>
      <c r="M267" s="11">
        <v>5</v>
      </c>
      <c r="N267" s="11">
        <v>60</v>
      </c>
    </row>
    <row r="268" spans="1:14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310</v>
      </c>
      <c r="J268" s="8" t="s">
        <v>19</v>
      </c>
      <c r="K268" s="11">
        <v>20</v>
      </c>
      <c r="L268" s="11">
        <f>SUM(Tabela1[[#This Row],[Subscription Price]],Tabela1[[#This Row],[EA Play Season Pass Price]],Tabela1[[#This Row],[Minecraft Season Pass Price]])</f>
        <v>30</v>
      </c>
      <c r="M268" s="11">
        <v>10</v>
      </c>
      <c r="N268" s="11">
        <v>20</v>
      </c>
    </row>
    <row r="269" spans="1:14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310</v>
      </c>
      <c r="J269" s="8" t="s">
        <v>23</v>
      </c>
      <c r="K269" s="11">
        <v>0</v>
      </c>
      <c r="L269" s="11">
        <f>SUM(Tabela1[[#This Row],[Subscription Price]],Tabela1[[#This Row],[EA Play Season Pass Price]],Tabela1[[#This Row],[Minecraft Season Pass Price]])</f>
        <v>5</v>
      </c>
      <c r="M269" s="11">
        <v>0</v>
      </c>
      <c r="N269" s="11">
        <v>5</v>
      </c>
    </row>
    <row r="270" spans="1:14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f>SUM(Tabela1[[#This Row],[Subscription Price]],Tabela1[[#This Row],[EA Play Season Pass Price]],Tabela1[[#This Row],[Minecraft Season Pass Price]])</f>
        <v>65</v>
      </c>
      <c r="M270" s="11">
        <v>3</v>
      </c>
      <c r="N270" s="11">
        <v>62</v>
      </c>
    </row>
    <row r="271" spans="1:14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310</v>
      </c>
      <c r="J271" s="8" t="s">
        <v>19</v>
      </c>
      <c r="K271" s="11">
        <v>20</v>
      </c>
      <c r="L271" s="11">
        <f>SUM(Tabela1[[#This Row],[Subscription Price]],Tabela1[[#This Row],[EA Play Season Pass Price]],Tabela1[[#This Row],[Minecraft Season Pass Price]])</f>
        <v>30</v>
      </c>
      <c r="M271" s="11">
        <v>15</v>
      </c>
      <c r="N271" s="11">
        <v>15</v>
      </c>
    </row>
    <row r="272" spans="1:14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310</v>
      </c>
      <c r="J272" s="8" t="s">
        <v>23</v>
      </c>
      <c r="K272" s="11">
        <v>0</v>
      </c>
      <c r="L272" s="11">
        <f>SUM(Tabela1[[#This Row],[Subscription Price]],Tabela1[[#This Row],[EA Play Season Pass Price]],Tabela1[[#This Row],[Minecraft Season Pass Price]])</f>
        <v>5</v>
      </c>
      <c r="M272" s="11">
        <v>1</v>
      </c>
      <c r="N272" s="11">
        <v>4</v>
      </c>
    </row>
    <row r="273" spans="1:14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f>SUM(Tabela1[[#This Row],[Subscription Price]],Tabela1[[#This Row],[EA Play Season Pass Price]],Tabela1[[#This Row],[Minecraft Season Pass Price]])</f>
        <v>65</v>
      </c>
      <c r="M273" s="11">
        <v>7</v>
      </c>
      <c r="N273" s="11">
        <v>58</v>
      </c>
    </row>
    <row r="274" spans="1:14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310</v>
      </c>
      <c r="J274" s="8" t="s">
        <v>19</v>
      </c>
      <c r="K274" s="11">
        <v>20</v>
      </c>
      <c r="L274" s="11">
        <f>SUM(Tabela1[[#This Row],[Subscription Price]],Tabela1[[#This Row],[EA Play Season Pass Price]],Tabela1[[#This Row],[Minecraft Season Pass Price]])</f>
        <v>30</v>
      </c>
      <c r="M274" s="11">
        <v>10</v>
      </c>
      <c r="N274" s="11">
        <v>20</v>
      </c>
    </row>
    <row r="275" spans="1:14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310</v>
      </c>
      <c r="J275" s="8" t="s">
        <v>23</v>
      </c>
      <c r="K275" s="11">
        <v>0</v>
      </c>
      <c r="L275" s="11">
        <f>SUM(Tabela1[[#This Row],[Subscription Price]],Tabela1[[#This Row],[EA Play Season Pass Price]],Tabela1[[#This Row],[Minecraft Season Pass Price]])</f>
        <v>5</v>
      </c>
      <c r="M275" s="11">
        <v>0</v>
      </c>
      <c r="N275" s="11">
        <v>5</v>
      </c>
    </row>
    <row r="276" spans="1:14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f>SUM(Tabela1[[#This Row],[Subscription Price]],Tabela1[[#This Row],[EA Play Season Pass Price]],Tabela1[[#This Row],[Minecraft Season Pass Price]])</f>
        <v>65</v>
      </c>
      <c r="M276" s="11">
        <v>20</v>
      </c>
      <c r="N276" s="11">
        <v>45</v>
      </c>
    </row>
    <row r="277" spans="1:14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310</v>
      </c>
      <c r="J277" s="8" t="s">
        <v>19</v>
      </c>
      <c r="K277" s="11">
        <v>20</v>
      </c>
      <c r="L277" s="11">
        <f>SUM(Tabela1[[#This Row],[Subscription Price]],Tabela1[[#This Row],[EA Play Season Pass Price]],Tabela1[[#This Row],[Minecraft Season Pass Price]])</f>
        <v>30</v>
      </c>
      <c r="M277" s="11">
        <v>15</v>
      </c>
      <c r="N277" s="11">
        <v>15</v>
      </c>
    </row>
    <row r="278" spans="1:14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310</v>
      </c>
      <c r="J278" s="8" t="s">
        <v>23</v>
      </c>
      <c r="K278" s="11">
        <v>0</v>
      </c>
      <c r="L278" s="11">
        <f>SUM(Tabela1[[#This Row],[Subscription Price]],Tabela1[[#This Row],[EA Play Season Pass Price]],Tabela1[[#This Row],[Minecraft Season Pass Price]])</f>
        <v>5</v>
      </c>
      <c r="M278" s="11">
        <v>1</v>
      </c>
      <c r="N278" s="11">
        <v>4</v>
      </c>
    </row>
    <row r="279" spans="1:14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f>SUM(Tabela1[[#This Row],[Subscription Price]],Tabela1[[#This Row],[EA Play Season Pass Price]],Tabela1[[#This Row],[Minecraft Season Pass Price]])</f>
        <v>65</v>
      </c>
      <c r="M279" s="11">
        <v>3</v>
      </c>
      <c r="N279" s="11">
        <v>62</v>
      </c>
    </row>
    <row r="280" spans="1:14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310</v>
      </c>
      <c r="J280" s="8" t="s">
        <v>19</v>
      </c>
      <c r="K280" s="11">
        <v>20</v>
      </c>
      <c r="L280" s="11">
        <f>SUM(Tabela1[[#This Row],[Subscription Price]],Tabela1[[#This Row],[EA Play Season Pass Price]],Tabela1[[#This Row],[Minecraft Season Pass Price]])</f>
        <v>30</v>
      </c>
      <c r="M280" s="11">
        <v>10</v>
      </c>
      <c r="N280" s="11">
        <v>20</v>
      </c>
    </row>
    <row r="281" spans="1:14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310</v>
      </c>
      <c r="J281" s="8" t="s">
        <v>23</v>
      </c>
      <c r="K281" s="11">
        <v>0</v>
      </c>
      <c r="L281" s="11">
        <f>SUM(Tabela1[[#This Row],[Subscription Price]],Tabela1[[#This Row],[EA Play Season Pass Price]],Tabela1[[#This Row],[Minecraft Season Pass Price]])</f>
        <v>5</v>
      </c>
      <c r="M281" s="11">
        <v>0</v>
      </c>
      <c r="N281" s="11">
        <v>5</v>
      </c>
    </row>
    <row r="282" spans="1:14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f>SUM(Tabela1[[#This Row],[Subscription Price]],Tabela1[[#This Row],[EA Play Season Pass Price]],Tabela1[[#This Row],[Minecraft Season Pass Price]])</f>
        <v>65</v>
      </c>
      <c r="M282" s="11">
        <v>15</v>
      </c>
      <c r="N282" s="11">
        <v>50</v>
      </c>
    </row>
    <row r="283" spans="1:14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310</v>
      </c>
      <c r="J283" s="8" t="s">
        <v>19</v>
      </c>
      <c r="K283" s="11">
        <v>20</v>
      </c>
      <c r="L283" s="11">
        <f>SUM(Tabela1[[#This Row],[Subscription Price]],Tabela1[[#This Row],[EA Play Season Pass Price]],Tabela1[[#This Row],[Minecraft Season Pass Price]])</f>
        <v>30</v>
      </c>
      <c r="M283" s="11">
        <v>15</v>
      </c>
      <c r="N283" s="11">
        <v>15</v>
      </c>
    </row>
    <row r="284" spans="1:14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310</v>
      </c>
      <c r="J284" s="8" t="s">
        <v>23</v>
      </c>
      <c r="K284" s="11">
        <v>0</v>
      </c>
      <c r="L284" s="11">
        <f>SUM(Tabela1[[#This Row],[Subscription Price]],Tabela1[[#This Row],[EA Play Season Pass Price]],Tabela1[[#This Row],[Minecraft Season Pass Price]])</f>
        <v>5</v>
      </c>
      <c r="M284" s="11">
        <v>1</v>
      </c>
      <c r="N284" s="11">
        <v>4</v>
      </c>
    </row>
    <row r="285" spans="1:14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f>SUM(Tabela1[[#This Row],[Subscription Price]],Tabela1[[#This Row],[EA Play Season Pass Price]],Tabela1[[#This Row],[Minecraft Season Pass Price]])</f>
        <v>65</v>
      </c>
      <c r="M285" s="11">
        <v>7</v>
      </c>
      <c r="N285" s="11">
        <v>58</v>
      </c>
    </row>
    <row r="286" spans="1:14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310</v>
      </c>
      <c r="J286" s="8" t="s">
        <v>19</v>
      </c>
      <c r="K286" s="11">
        <v>20</v>
      </c>
      <c r="L286" s="11">
        <f>SUM(Tabela1[[#This Row],[Subscription Price]],Tabela1[[#This Row],[EA Play Season Pass Price]],Tabela1[[#This Row],[Minecraft Season Pass Price]])</f>
        <v>30</v>
      </c>
      <c r="M286" s="11">
        <v>10</v>
      </c>
      <c r="N286" s="11">
        <v>20</v>
      </c>
    </row>
    <row r="287" spans="1:14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310</v>
      </c>
      <c r="J287" s="8" t="s">
        <v>23</v>
      </c>
      <c r="K287" s="11">
        <v>0</v>
      </c>
      <c r="L287" s="11">
        <f>SUM(Tabela1[[#This Row],[Subscription Price]],Tabela1[[#This Row],[EA Play Season Pass Price]],Tabela1[[#This Row],[Minecraft Season Pass Price]])</f>
        <v>5</v>
      </c>
      <c r="M287" s="11">
        <v>0</v>
      </c>
      <c r="N287" s="11">
        <v>5</v>
      </c>
    </row>
    <row r="288" spans="1:14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f>SUM(Tabela1[[#This Row],[Subscription Price]],Tabela1[[#This Row],[EA Play Season Pass Price]],Tabela1[[#This Row],[Minecraft Season Pass Price]])</f>
        <v>65</v>
      </c>
      <c r="M288" s="11">
        <v>20</v>
      </c>
      <c r="N288" s="11">
        <v>45</v>
      </c>
    </row>
    <row r="289" spans="1:14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310</v>
      </c>
      <c r="J289" s="8" t="s">
        <v>19</v>
      </c>
      <c r="K289" s="11">
        <v>20</v>
      </c>
      <c r="L289" s="11">
        <f>SUM(Tabela1[[#This Row],[Subscription Price]],Tabela1[[#This Row],[EA Play Season Pass Price]],Tabela1[[#This Row],[Minecraft Season Pass Price]])</f>
        <v>30</v>
      </c>
      <c r="M289" s="11">
        <v>12</v>
      </c>
      <c r="N289" s="11">
        <v>18</v>
      </c>
    </row>
    <row r="290" spans="1:14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310</v>
      </c>
      <c r="J290" s="8" t="s">
        <v>23</v>
      </c>
      <c r="K290" s="11">
        <v>0</v>
      </c>
      <c r="L290" s="11">
        <f>SUM(Tabela1[[#This Row],[Subscription Price]],Tabela1[[#This Row],[EA Play Season Pass Price]],Tabela1[[#This Row],[Minecraft Season Pass Price]])</f>
        <v>5</v>
      </c>
      <c r="M290" s="11">
        <v>2</v>
      </c>
      <c r="N290" s="11">
        <v>3</v>
      </c>
    </row>
    <row r="291" spans="1:14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f>SUM(Tabela1[[#This Row],[Subscription Price]],Tabela1[[#This Row],[EA Play Season Pass Price]],Tabela1[[#This Row],[Minecraft Season Pass Price]])</f>
        <v>65</v>
      </c>
      <c r="M291" s="11">
        <v>5</v>
      </c>
      <c r="N291" s="11">
        <v>60</v>
      </c>
    </row>
    <row r="292" spans="1:14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310</v>
      </c>
      <c r="J292" s="8" t="s">
        <v>19</v>
      </c>
      <c r="K292" s="11">
        <v>20</v>
      </c>
      <c r="L292" s="11">
        <f>SUM(Tabela1[[#This Row],[Subscription Price]],Tabela1[[#This Row],[EA Play Season Pass Price]],Tabela1[[#This Row],[Minecraft Season Pass Price]])</f>
        <v>30</v>
      </c>
      <c r="M292" s="11">
        <v>10</v>
      </c>
      <c r="N292" s="11">
        <v>20</v>
      </c>
    </row>
    <row r="293" spans="1:14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310</v>
      </c>
      <c r="J293" s="8" t="s">
        <v>23</v>
      </c>
      <c r="K293" s="11">
        <v>0</v>
      </c>
      <c r="L293" s="11">
        <f>SUM(Tabela1[[#This Row],[Subscription Price]],Tabela1[[#This Row],[EA Play Season Pass Price]],Tabela1[[#This Row],[Minecraft Season Pass Price]])</f>
        <v>5</v>
      </c>
      <c r="M293" s="11">
        <v>0</v>
      </c>
      <c r="N293" s="11">
        <v>5</v>
      </c>
    </row>
    <row r="294" spans="1:14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f>SUM(Tabela1[[#This Row],[Subscription Price]],Tabela1[[#This Row],[EA Play Season Pass Price]],Tabela1[[#This Row],[Minecraft Season Pass Price]])</f>
        <v>65</v>
      </c>
      <c r="M294" s="11">
        <v>3</v>
      </c>
      <c r="N294" s="11">
        <v>62</v>
      </c>
    </row>
    <row r="295" spans="1:14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310</v>
      </c>
      <c r="J295" s="8" t="s">
        <v>19</v>
      </c>
      <c r="K295" s="11">
        <v>20</v>
      </c>
      <c r="L295" s="11">
        <f>SUM(Tabela1[[#This Row],[Subscription Price]],Tabela1[[#This Row],[EA Play Season Pass Price]],Tabela1[[#This Row],[Minecraft Season Pass Price]])</f>
        <v>30</v>
      </c>
      <c r="M295" s="11">
        <v>15</v>
      </c>
      <c r="N295" s="11">
        <v>15</v>
      </c>
    </row>
    <row r="296" spans="1:14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310</v>
      </c>
      <c r="J296" s="8" t="s">
        <v>23</v>
      </c>
      <c r="K296" s="11">
        <v>0</v>
      </c>
      <c r="L296" s="11">
        <f>SUM(Tabela1[[#This Row],[Subscription Price]],Tabela1[[#This Row],[EA Play Season Pass Price]],Tabela1[[#This Row],[Minecraft Season Pass Price]])</f>
        <v>5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O27"/>
  <sheetViews>
    <sheetView showGridLines="0" workbookViewId="0">
      <selection activeCell="I8" sqref="I8"/>
    </sheetView>
  </sheetViews>
  <sheetFormatPr defaultRowHeight="14.5" x14ac:dyDescent="0.35"/>
  <cols>
    <col min="2" max="2" width="25.08984375" bestFit="1" customWidth="1"/>
    <col min="3" max="3" width="19.36328125" bestFit="1" customWidth="1"/>
    <col min="4" max="4" width="4.08984375" bestFit="1" customWidth="1"/>
    <col min="5" max="5" width="10.1796875" bestFit="1" customWidth="1"/>
    <col min="6" max="6" width="16.36328125" customWidth="1"/>
    <col min="7" max="7" width="24.90625" bestFit="1" customWidth="1"/>
    <col min="8" max="8" width="26.453125" bestFit="1" customWidth="1"/>
    <col min="9" max="9" width="33.54296875" bestFit="1" customWidth="1"/>
    <col min="10" max="10" width="25.6328125" bestFit="1" customWidth="1"/>
    <col min="11" max="11" width="18.36328125" bestFit="1" customWidth="1"/>
    <col min="12" max="12" width="21.36328125" bestFit="1" customWidth="1"/>
    <col min="13" max="13" width="33.54296875" bestFit="1" customWidth="1"/>
    <col min="14" max="14" width="18.36328125" bestFit="1" customWidth="1"/>
    <col min="15" max="15" width="15.54296875" customWidth="1"/>
    <col min="16" max="21" width="33.54296875" bestFit="1" customWidth="1"/>
    <col min="22" max="22" width="22.90625" bestFit="1" customWidth="1"/>
    <col min="23" max="23" width="32.7265625" bestFit="1" customWidth="1"/>
    <col min="24" max="24" width="39.6328125" bestFit="1" customWidth="1"/>
    <col min="25" max="25" width="27.26953125" bestFit="1" customWidth="1"/>
    <col min="26" max="26" width="24.6328125" bestFit="1" customWidth="1"/>
    <col min="27" max="28" width="9.26953125" bestFit="1" customWidth="1"/>
    <col min="29" max="29" width="8.26953125" bestFit="1" customWidth="1"/>
    <col min="30" max="31" width="9.26953125" bestFit="1" customWidth="1"/>
    <col min="32" max="32" width="8.26953125" bestFit="1" customWidth="1"/>
    <col min="33" max="34" width="9.26953125" bestFit="1" customWidth="1"/>
    <col min="35" max="35" width="8.26953125" bestFit="1" customWidth="1"/>
    <col min="36" max="37" width="9.26953125" bestFit="1" customWidth="1"/>
    <col min="38" max="39" width="8.26953125" bestFit="1" customWidth="1"/>
    <col min="40" max="41" width="9.26953125" bestFit="1" customWidth="1"/>
    <col min="42" max="42" width="8.26953125" bestFit="1" customWidth="1"/>
    <col min="43" max="44" width="9.26953125" bestFit="1" customWidth="1"/>
    <col min="45" max="45" width="8.26953125" bestFit="1" customWidth="1"/>
    <col min="46" max="47" width="9.26953125" bestFit="1" customWidth="1"/>
    <col min="48" max="48" width="8.26953125" bestFit="1" customWidth="1"/>
    <col min="49" max="50" width="9.26953125" bestFit="1" customWidth="1"/>
    <col min="51" max="51" width="8.26953125" bestFit="1" customWidth="1"/>
    <col min="52" max="53" width="9.26953125" bestFit="1" customWidth="1"/>
    <col min="54" max="54" width="8.26953125" bestFit="1" customWidth="1"/>
    <col min="55" max="56" width="9.26953125" bestFit="1" customWidth="1"/>
    <col min="57" max="57" width="8.26953125" bestFit="1" customWidth="1"/>
    <col min="58" max="59" width="9.26953125" bestFit="1" customWidth="1"/>
    <col min="60" max="60" width="8.26953125" bestFit="1" customWidth="1"/>
    <col min="61" max="62" width="9.26953125" bestFit="1" customWidth="1"/>
    <col min="63" max="63" width="8.26953125" bestFit="1" customWidth="1"/>
    <col min="64" max="65" width="9.26953125" bestFit="1" customWidth="1"/>
    <col min="66" max="66" width="8.26953125" bestFit="1" customWidth="1"/>
    <col min="67" max="68" width="9.26953125" bestFit="1" customWidth="1"/>
    <col min="69" max="69" width="8.26953125" bestFit="1" customWidth="1"/>
    <col min="70" max="71" width="9.26953125" bestFit="1" customWidth="1"/>
    <col min="72" max="72" width="8.26953125" bestFit="1" customWidth="1"/>
    <col min="73" max="74" width="9.26953125" bestFit="1" customWidth="1"/>
    <col min="75" max="75" width="8.26953125" bestFit="1" customWidth="1"/>
    <col min="76" max="77" width="9.26953125" bestFit="1" customWidth="1"/>
    <col min="78" max="78" width="8.26953125" bestFit="1" customWidth="1"/>
    <col min="79" max="80" width="9.26953125" bestFit="1" customWidth="1"/>
    <col min="81" max="81" width="8.26953125" bestFit="1" customWidth="1"/>
    <col min="82" max="83" width="9.26953125" bestFit="1" customWidth="1"/>
    <col min="84" max="84" width="8.26953125" bestFit="1" customWidth="1"/>
    <col min="85" max="86" width="9.26953125" bestFit="1" customWidth="1"/>
    <col min="87" max="87" width="8.26953125" bestFit="1" customWidth="1"/>
    <col min="88" max="89" width="9.26953125" bestFit="1" customWidth="1"/>
    <col min="90" max="90" width="8.26953125" bestFit="1" customWidth="1"/>
    <col min="91" max="92" width="9.26953125" bestFit="1" customWidth="1"/>
    <col min="93" max="93" width="8.26953125" bestFit="1" customWidth="1"/>
    <col min="94" max="95" width="9.26953125" bestFit="1" customWidth="1"/>
    <col min="96" max="96" width="8.26953125" bestFit="1" customWidth="1"/>
    <col min="97" max="98" width="9.26953125" bestFit="1" customWidth="1"/>
    <col min="99" max="99" width="8.26953125" bestFit="1" customWidth="1"/>
    <col min="100" max="101" width="9.26953125" bestFit="1" customWidth="1"/>
    <col min="102" max="102" width="8.26953125" bestFit="1" customWidth="1"/>
    <col min="103" max="104" width="9.26953125" bestFit="1" customWidth="1"/>
    <col min="105" max="105" width="8.26953125" bestFit="1" customWidth="1"/>
    <col min="106" max="107" width="9.26953125" bestFit="1" customWidth="1"/>
    <col min="108" max="109" width="8.26953125" bestFit="1" customWidth="1"/>
    <col min="110" max="111" width="9.26953125" bestFit="1" customWidth="1"/>
    <col min="112" max="112" width="8.26953125" bestFit="1" customWidth="1"/>
    <col min="113" max="114" width="9.26953125" bestFit="1" customWidth="1"/>
    <col min="115" max="115" width="8.26953125" bestFit="1" customWidth="1"/>
    <col min="116" max="117" width="9.26953125" bestFit="1" customWidth="1"/>
    <col min="118" max="118" width="8.26953125" bestFit="1" customWidth="1"/>
    <col min="119" max="120" width="9.26953125" bestFit="1" customWidth="1"/>
    <col min="121" max="121" width="8.26953125" bestFit="1" customWidth="1"/>
    <col min="122" max="123" width="9.26953125" bestFit="1" customWidth="1"/>
    <col min="124" max="124" width="8.26953125" bestFit="1" customWidth="1"/>
    <col min="125" max="126" width="9.26953125" bestFit="1" customWidth="1"/>
    <col min="127" max="127" width="8.26953125" bestFit="1" customWidth="1"/>
    <col min="128" max="129" width="9.26953125" bestFit="1" customWidth="1"/>
    <col min="130" max="130" width="8.26953125" bestFit="1" customWidth="1"/>
    <col min="131" max="132" width="9.26953125" bestFit="1" customWidth="1"/>
    <col min="133" max="133" width="8.26953125" bestFit="1" customWidth="1"/>
    <col min="134" max="135" width="9.26953125" bestFit="1" customWidth="1"/>
    <col min="136" max="136" width="8.26953125" bestFit="1" customWidth="1"/>
    <col min="137" max="138" width="9.26953125" bestFit="1" customWidth="1"/>
    <col min="139" max="139" width="8.26953125" bestFit="1" customWidth="1"/>
    <col min="140" max="141" width="9.26953125" bestFit="1" customWidth="1"/>
    <col min="142" max="142" width="8.26953125" bestFit="1" customWidth="1"/>
    <col min="143" max="144" width="9.26953125" bestFit="1" customWidth="1"/>
    <col min="145" max="145" width="8.26953125" bestFit="1" customWidth="1"/>
    <col min="146" max="147" width="9.26953125" bestFit="1" customWidth="1"/>
    <col min="148" max="148" width="8.26953125" bestFit="1" customWidth="1"/>
    <col min="149" max="150" width="9.26953125" bestFit="1" customWidth="1"/>
    <col min="151" max="151" width="8.26953125" bestFit="1" customWidth="1"/>
    <col min="152" max="153" width="9.26953125" bestFit="1" customWidth="1"/>
    <col min="154" max="154" width="8.26953125" bestFit="1" customWidth="1"/>
    <col min="155" max="156" width="9.26953125" bestFit="1" customWidth="1"/>
    <col min="157" max="157" width="8.26953125" bestFit="1" customWidth="1"/>
    <col min="158" max="159" width="9.26953125" bestFit="1" customWidth="1"/>
    <col min="160" max="160" width="8.26953125" bestFit="1" customWidth="1"/>
    <col min="161" max="162" width="9.26953125" bestFit="1" customWidth="1"/>
    <col min="163" max="163" width="8.26953125" bestFit="1" customWidth="1"/>
    <col min="164" max="165" width="9.26953125" bestFit="1" customWidth="1"/>
    <col min="166" max="166" width="8.26953125" bestFit="1" customWidth="1"/>
    <col min="167" max="168" width="9.26953125" bestFit="1" customWidth="1"/>
    <col min="169" max="169" width="8.26953125" bestFit="1" customWidth="1"/>
    <col min="170" max="171" width="9.26953125" bestFit="1" customWidth="1"/>
    <col min="172" max="172" width="8.26953125" bestFit="1" customWidth="1"/>
    <col min="173" max="174" width="9.26953125" bestFit="1" customWidth="1"/>
    <col min="175" max="175" width="8.26953125" bestFit="1" customWidth="1"/>
    <col min="176" max="177" width="9.26953125" bestFit="1" customWidth="1"/>
    <col min="178" max="179" width="8.26953125" bestFit="1" customWidth="1"/>
    <col min="180" max="181" width="9.26953125" bestFit="1" customWidth="1"/>
    <col min="182" max="182" width="8.26953125" bestFit="1" customWidth="1"/>
    <col min="183" max="184" width="9.26953125" bestFit="1" customWidth="1"/>
    <col min="185" max="185" width="8.26953125" bestFit="1" customWidth="1"/>
    <col min="186" max="187" width="9.26953125" bestFit="1" customWidth="1"/>
    <col min="188" max="188" width="8.26953125" bestFit="1" customWidth="1"/>
    <col min="189" max="190" width="9.26953125" bestFit="1" customWidth="1"/>
    <col min="191" max="191" width="8.26953125" bestFit="1" customWidth="1"/>
    <col min="192" max="193" width="9.26953125" bestFit="1" customWidth="1"/>
    <col min="194" max="194" width="8.26953125" bestFit="1" customWidth="1"/>
    <col min="195" max="196" width="9.26953125" bestFit="1" customWidth="1"/>
    <col min="197" max="197" width="8.26953125" bestFit="1" customWidth="1"/>
    <col min="198" max="199" width="9.26953125" bestFit="1" customWidth="1"/>
    <col min="200" max="200" width="8.26953125" bestFit="1" customWidth="1"/>
    <col min="201" max="202" width="9.26953125" bestFit="1" customWidth="1"/>
    <col min="203" max="203" width="8.26953125" bestFit="1" customWidth="1"/>
    <col min="204" max="205" width="9.26953125" bestFit="1" customWidth="1"/>
    <col min="206" max="206" width="8.26953125" bestFit="1" customWidth="1"/>
    <col min="207" max="208" width="9.26953125" bestFit="1" customWidth="1"/>
    <col min="209" max="209" width="8.26953125" bestFit="1" customWidth="1"/>
    <col min="210" max="211" width="9.26953125" bestFit="1" customWidth="1"/>
    <col min="212" max="212" width="8.26953125" bestFit="1" customWidth="1"/>
    <col min="213" max="214" width="9.26953125" bestFit="1" customWidth="1"/>
    <col min="215" max="215" width="8.26953125" bestFit="1" customWidth="1"/>
    <col min="216" max="217" width="9.26953125" bestFit="1" customWidth="1"/>
    <col min="218" max="218" width="8.26953125" bestFit="1" customWidth="1"/>
    <col min="219" max="220" width="9.26953125" bestFit="1" customWidth="1"/>
    <col min="221" max="221" width="8.26953125" bestFit="1" customWidth="1"/>
    <col min="222" max="223" width="9.26953125" bestFit="1" customWidth="1"/>
    <col min="224" max="224" width="8.26953125" bestFit="1" customWidth="1"/>
    <col min="225" max="226" width="9.26953125" bestFit="1" customWidth="1"/>
    <col min="227" max="227" width="8.26953125" bestFit="1" customWidth="1"/>
    <col min="228" max="229" width="9.26953125" bestFit="1" customWidth="1"/>
    <col min="230" max="230" width="8.26953125" bestFit="1" customWidth="1"/>
    <col min="231" max="232" width="9.26953125" bestFit="1" customWidth="1"/>
    <col min="233" max="233" width="8.26953125" bestFit="1" customWidth="1"/>
    <col min="234" max="235" width="9.26953125" bestFit="1" customWidth="1"/>
    <col min="236" max="236" width="8.26953125" bestFit="1" customWidth="1"/>
    <col min="237" max="238" width="9.26953125" bestFit="1" customWidth="1"/>
    <col min="239" max="239" width="8.26953125" bestFit="1" customWidth="1"/>
    <col min="240" max="241" width="9.26953125" bestFit="1" customWidth="1"/>
    <col min="242" max="242" width="8.26953125" bestFit="1" customWidth="1"/>
    <col min="243" max="244" width="9.26953125" bestFit="1" customWidth="1"/>
    <col min="245" max="245" width="8.26953125" bestFit="1" customWidth="1"/>
    <col min="246" max="247" width="9.26953125" bestFit="1" customWidth="1"/>
    <col min="248" max="248" width="8.26953125" bestFit="1" customWidth="1"/>
    <col min="249" max="250" width="9.26953125" bestFit="1" customWidth="1"/>
    <col min="251" max="251" width="8.26953125" bestFit="1" customWidth="1"/>
    <col min="252" max="253" width="9.26953125" bestFit="1" customWidth="1"/>
    <col min="254" max="254" width="8.26953125" bestFit="1" customWidth="1"/>
    <col min="255" max="256" width="9.26953125" bestFit="1" customWidth="1"/>
    <col min="257" max="257" width="8.26953125" bestFit="1" customWidth="1"/>
    <col min="258" max="258" width="9.26953125" bestFit="1" customWidth="1"/>
    <col min="259" max="259" width="8.26953125" bestFit="1" customWidth="1"/>
    <col min="260" max="261" width="9.26953125" bestFit="1" customWidth="1"/>
    <col min="262" max="262" width="8.26953125" bestFit="1" customWidth="1"/>
    <col min="263" max="264" width="9.26953125" bestFit="1" customWidth="1"/>
    <col min="265" max="265" width="8.26953125" bestFit="1" customWidth="1"/>
    <col min="266" max="267" width="9.26953125" bestFit="1" customWidth="1"/>
    <col min="268" max="268" width="8.26953125" bestFit="1" customWidth="1"/>
    <col min="269" max="270" width="9.26953125" bestFit="1" customWidth="1"/>
    <col min="271" max="271" width="8.26953125" bestFit="1" customWidth="1"/>
    <col min="272" max="273" width="9.26953125" bestFit="1" customWidth="1"/>
    <col min="274" max="274" width="8.26953125" bestFit="1" customWidth="1"/>
    <col min="275" max="276" width="9.26953125" bestFit="1" customWidth="1"/>
    <col min="277" max="277" width="8.26953125" bestFit="1" customWidth="1"/>
    <col min="278" max="279" width="9.26953125" bestFit="1" customWidth="1"/>
    <col min="280" max="280" width="8.26953125" bestFit="1" customWidth="1"/>
    <col min="281" max="282" width="9.26953125" bestFit="1" customWidth="1"/>
    <col min="283" max="283" width="8.26953125" bestFit="1" customWidth="1"/>
    <col min="284" max="285" width="9.26953125" bestFit="1" customWidth="1"/>
    <col min="286" max="286" width="8.26953125" bestFit="1" customWidth="1"/>
    <col min="287" max="288" width="9.26953125" bestFit="1" customWidth="1"/>
    <col min="289" max="289" width="8.26953125" bestFit="1" customWidth="1"/>
    <col min="290" max="291" width="9.26953125" bestFit="1" customWidth="1"/>
    <col min="292" max="292" width="8.26953125" bestFit="1" customWidth="1"/>
    <col min="293" max="294" width="9.26953125" bestFit="1" customWidth="1"/>
    <col min="295" max="295" width="8.26953125" bestFit="1" customWidth="1"/>
    <col min="296" max="297" width="9.26953125" bestFit="1" customWidth="1"/>
    <col min="298" max="298" width="8.26953125" bestFit="1" customWidth="1"/>
    <col min="299" max="299" width="11.7265625" bestFit="1" customWidth="1"/>
  </cols>
  <sheetData>
    <row r="1" spans="2:15" ht="39" customHeight="1" x14ac:dyDescent="0.35">
      <c r="B1" s="22" t="s">
        <v>322</v>
      </c>
      <c r="C1" s="23"/>
      <c r="G1" s="22" t="s">
        <v>321</v>
      </c>
      <c r="H1" s="22"/>
      <c r="I1" s="22"/>
      <c r="J1" s="22"/>
    </row>
    <row r="2" spans="2:15" x14ac:dyDescent="0.35">
      <c r="B2" s="12" t="s">
        <v>16</v>
      </c>
      <c r="C2" t="s">
        <v>333</v>
      </c>
      <c r="G2" s="12" t="s">
        <v>13</v>
      </c>
      <c r="H2" t="s">
        <v>333</v>
      </c>
    </row>
    <row r="4" spans="2:15" x14ac:dyDescent="0.35">
      <c r="B4" s="12" t="s">
        <v>313</v>
      </c>
      <c r="C4" t="s">
        <v>319</v>
      </c>
      <c r="G4" t="s">
        <v>325</v>
      </c>
      <c r="H4" t="s">
        <v>318</v>
      </c>
      <c r="I4" t="s">
        <v>317</v>
      </c>
      <c r="J4" t="s">
        <v>327</v>
      </c>
      <c r="K4" t="s">
        <v>312</v>
      </c>
      <c r="N4" t="s">
        <v>312</v>
      </c>
    </row>
    <row r="5" spans="2:15" x14ac:dyDescent="0.35">
      <c r="B5" s="14" t="s">
        <v>22</v>
      </c>
      <c r="C5" s="28">
        <v>101</v>
      </c>
      <c r="G5" s="13">
        <v>2935</v>
      </c>
      <c r="H5" s="13">
        <v>2940</v>
      </c>
      <c r="I5" s="13">
        <v>3880</v>
      </c>
      <c r="J5" s="13">
        <v>2122</v>
      </c>
      <c r="K5" s="13">
        <v>7633</v>
      </c>
      <c r="N5" s="13">
        <v>7633</v>
      </c>
      <c r="O5" s="13">
        <f>GETPIVOTDATA("Total Value",$N$4)</f>
        <v>7633</v>
      </c>
    </row>
    <row r="6" spans="2:15" x14ac:dyDescent="0.35">
      <c r="B6" s="14" t="s">
        <v>26</v>
      </c>
      <c r="C6" s="28">
        <v>96</v>
      </c>
    </row>
    <row r="7" spans="2:15" x14ac:dyDescent="0.35">
      <c r="B7" s="14" t="s">
        <v>18</v>
      </c>
      <c r="C7" s="28">
        <v>98</v>
      </c>
    </row>
    <row r="8" spans="2:15" x14ac:dyDescent="0.35">
      <c r="B8" s="14" t="s">
        <v>314</v>
      </c>
      <c r="C8" s="28">
        <v>295</v>
      </c>
      <c r="D8">
        <f>GETPIVOTDATA("Plan",$B$4)</f>
        <v>295</v>
      </c>
    </row>
    <row r="11" spans="2:15" x14ac:dyDescent="0.35">
      <c r="B11" s="24" t="s">
        <v>323</v>
      </c>
      <c r="C11" s="24"/>
      <c r="G11" s="24" t="s">
        <v>324</v>
      </c>
      <c r="H11" s="24"/>
    </row>
    <row r="12" spans="2:15" x14ac:dyDescent="0.35">
      <c r="B12" s="24"/>
      <c r="C12" s="24"/>
      <c r="G12" s="24"/>
      <c r="H12" s="24"/>
    </row>
    <row r="13" spans="2:15" x14ac:dyDescent="0.35">
      <c r="G13" s="12" t="s">
        <v>313</v>
      </c>
      <c r="H13" t="s">
        <v>325</v>
      </c>
      <c r="I13" t="s">
        <v>316</v>
      </c>
      <c r="J13" t="s">
        <v>312</v>
      </c>
    </row>
    <row r="14" spans="2:15" x14ac:dyDescent="0.35">
      <c r="G14" s="14" t="s">
        <v>22</v>
      </c>
      <c r="H14" s="13">
        <v>505</v>
      </c>
      <c r="I14" s="13">
        <v>61</v>
      </c>
      <c r="J14" s="13">
        <v>444</v>
      </c>
    </row>
    <row r="15" spans="2:15" x14ac:dyDescent="0.35">
      <c r="B15" s="12" t="s">
        <v>320</v>
      </c>
      <c r="C15" s="12" t="s">
        <v>315</v>
      </c>
      <c r="G15" s="14" t="s">
        <v>26</v>
      </c>
      <c r="H15" s="13">
        <v>960</v>
      </c>
      <c r="I15" s="13">
        <v>1079</v>
      </c>
      <c r="J15" s="13">
        <v>1801</v>
      </c>
    </row>
    <row r="16" spans="2:15" x14ac:dyDescent="0.35">
      <c r="B16" s="12" t="s">
        <v>313</v>
      </c>
      <c r="C16" t="s">
        <v>23</v>
      </c>
      <c r="D16" t="s">
        <v>19</v>
      </c>
      <c r="E16" t="s">
        <v>314</v>
      </c>
      <c r="G16" s="14" t="s">
        <v>18</v>
      </c>
      <c r="H16" s="13">
        <v>1470</v>
      </c>
      <c r="I16" s="13">
        <v>982</v>
      </c>
      <c r="J16" s="13">
        <v>5388</v>
      </c>
    </row>
    <row r="17" spans="2:10" x14ac:dyDescent="0.35">
      <c r="B17" s="14" t="s">
        <v>22</v>
      </c>
      <c r="C17" s="29">
        <v>50</v>
      </c>
      <c r="D17" s="29">
        <v>51</v>
      </c>
      <c r="E17" s="29">
        <v>101</v>
      </c>
      <c r="F17" s="15"/>
      <c r="G17" s="14" t="s">
        <v>314</v>
      </c>
      <c r="H17" s="13">
        <v>2935</v>
      </c>
      <c r="I17" s="13">
        <v>2122</v>
      </c>
      <c r="J17" s="13">
        <v>7633</v>
      </c>
    </row>
    <row r="18" spans="2:10" x14ac:dyDescent="0.35">
      <c r="B18" s="14" t="s">
        <v>26</v>
      </c>
      <c r="C18" s="29">
        <v>47</v>
      </c>
      <c r="D18" s="29">
        <v>49</v>
      </c>
      <c r="E18" s="29">
        <v>96</v>
      </c>
      <c r="F18" s="15"/>
    </row>
    <row r="19" spans="2:10" x14ac:dyDescent="0.35">
      <c r="B19" s="14" t="s">
        <v>18</v>
      </c>
      <c r="C19" s="29">
        <v>50</v>
      </c>
      <c r="D19" s="29">
        <v>48</v>
      </c>
      <c r="E19" s="29">
        <v>98</v>
      </c>
      <c r="F19" s="15"/>
    </row>
    <row r="20" spans="2:10" x14ac:dyDescent="0.35">
      <c r="B20" s="14" t="s">
        <v>314</v>
      </c>
      <c r="C20" s="29">
        <v>147</v>
      </c>
      <c r="D20" s="29">
        <v>148</v>
      </c>
      <c r="E20" s="29">
        <v>295</v>
      </c>
      <c r="F20" s="15"/>
    </row>
    <row r="21" spans="2:10" x14ac:dyDescent="0.35">
      <c r="D21">
        <f>GETPIVOTDATA("Auto Renewal",$B$15)</f>
        <v>295</v>
      </c>
    </row>
    <row r="22" spans="2:10" x14ac:dyDescent="0.35">
      <c r="G22" s="12" t="s">
        <v>313</v>
      </c>
      <c r="H22" t="s">
        <v>316</v>
      </c>
      <c r="I22" t="s">
        <v>312</v>
      </c>
      <c r="J22" t="s">
        <v>332</v>
      </c>
    </row>
    <row r="23" spans="2:10" x14ac:dyDescent="0.35">
      <c r="G23" s="14" t="s">
        <v>22</v>
      </c>
      <c r="H23" s="13">
        <v>61</v>
      </c>
      <c r="I23" s="13">
        <v>444</v>
      </c>
      <c r="J23" s="21">
        <v>0.12079207920792079</v>
      </c>
    </row>
    <row r="24" spans="2:10" x14ac:dyDescent="0.35">
      <c r="G24" s="14" t="s">
        <v>26</v>
      </c>
      <c r="H24" s="13">
        <v>1079</v>
      </c>
      <c r="I24" s="13">
        <v>1801</v>
      </c>
      <c r="J24" s="21">
        <v>0.37465277777777778</v>
      </c>
    </row>
    <row r="25" spans="2:10" x14ac:dyDescent="0.35">
      <c r="G25" s="14" t="s">
        <v>18</v>
      </c>
      <c r="H25" s="13">
        <v>982</v>
      </c>
      <c r="I25" s="13">
        <v>5388</v>
      </c>
      <c r="J25" s="21">
        <v>0.15416012558869702</v>
      </c>
    </row>
    <row r="26" spans="2:10" x14ac:dyDescent="0.35">
      <c r="G26" s="14" t="s">
        <v>314</v>
      </c>
      <c r="H26" s="13">
        <v>2122</v>
      </c>
      <c r="I26" s="13">
        <v>7633</v>
      </c>
      <c r="J26" s="21">
        <v>0.21752947206560738</v>
      </c>
    </row>
    <row r="27" spans="2:10" x14ac:dyDescent="0.35">
      <c r="J27" s="21">
        <f>GETPIVOTDATA("Soma de Porcentagem",$G$22)</f>
        <v>0.21752947206560738</v>
      </c>
    </row>
  </sheetData>
  <mergeCells count="4">
    <mergeCell ref="B1:C1"/>
    <mergeCell ref="G1:J1"/>
    <mergeCell ref="B11:C12"/>
    <mergeCell ref="G11:H12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C55"/>
  <sheetViews>
    <sheetView showGridLines="0" tabSelected="1" zoomScale="70" zoomScaleNormal="70" workbookViewId="0">
      <selection activeCell="P17" sqref="P17"/>
    </sheetView>
  </sheetViews>
  <sheetFormatPr defaultRowHeight="14.5" x14ac:dyDescent="0.35"/>
  <cols>
    <col min="1" max="1" width="26.54296875" customWidth="1"/>
    <col min="2" max="2" width="2.7265625" customWidth="1"/>
    <col min="12" max="12" width="6.54296875" customWidth="1"/>
    <col min="13" max="13" width="7.36328125" customWidth="1"/>
    <col min="14" max="14" width="2.81640625" customWidth="1"/>
    <col min="17" max="17" width="15.26953125" customWidth="1"/>
    <col min="28" max="28" width="9.54296875" customWidth="1"/>
    <col min="29" max="29" width="10.6328125" customWidth="1"/>
  </cols>
  <sheetData>
    <row r="1" spans="1:29" s="3" customFormat="1" ht="100.5" customHeight="1" x14ac:dyDescent="0.35">
      <c r="A1" s="26" t="s">
        <v>326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28.5" x14ac:dyDescent="0.65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8"/>
      <c r="P2" s="18"/>
      <c r="Q2" s="18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7.5" customHeight="1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9"/>
      <c r="P3" s="19"/>
      <c r="Q3" s="1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4.5" customHeight="1" x14ac:dyDescent="0.35">
      <c r="B4" s="7"/>
      <c r="C4" s="25" t="s">
        <v>322</v>
      </c>
      <c r="D4" s="25"/>
      <c r="E4" s="25"/>
      <c r="F4" s="25"/>
      <c r="G4" s="25"/>
      <c r="H4" s="25"/>
      <c r="I4" s="20"/>
      <c r="J4" s="20"/>
      <c r="K4" s="20"/>
      <c r="L4" s="20"/>
      <c r="M4" s="20"/>
      <c r="N4" s="7"/>
      <c r="O4" s="19"/>
      <c r="P4" s="19"/>
      <c r="Q4" s="19"/>
      <c r="R4" s="7"/>
      <c r="S4" s="25" t="s">
        <v>330</v>
      </c>
      <c r="T4" s="25"/>
      <c r="U4" s="25"/>
      <c r="V4" s="25"/>
      <c r="W4" s="25"/>
      <c r="X4" s="25"/>
      <c r="Y4" s="7"/>
      <c r="Z4" s="7"/>
      <c r="AA4" s="7"/>
      <c r="AB4" s="7"/>
      <c r="AC4" s="7"/>
    </row>
    <row r="5" spans="1:29" ht="14.5" customHeight="1" x14ac:dyDescent="0.35">
      <c r="B5" s="7"/>
      <c r="C5" s="25"/>
      <c r="D5" s="25"/>
      <c r="E5" s="25"/>
      <c r="F5" s="25"/>
      <c r="G5" s="25"/>
      <c r="H5" s="25"/>
      <c r="I5" s="20"/>
      <c r="J5" s="20"/>
      <c r="K5" s="20"/>
      <c r="L5" s="20"/>
      <c r="M5" s="20"/>
      <c r="N5" s="7"/>
      <c r="O5" s="19"/>
      <c r="P5" s="19"/>
      <c r="Q5" s="19"/>
      <c r="R5" s="7"/>
      <c r="S5" s="25"/>
      <c r="T5" s="25"/>
      <c r="U5" s="25"/>
      <c r="V5" s="25"/>
      <c r="W5" s="25"/>
      <c r="X5" s="25"/>
      <c r="Y5" s="20"/>
      <c r="Z5" s="20"/>
      <c r="AA5" s="20"/>
      <c r="AB5" s="20"/>
      <c r="AC5" s="7"/>
    </row>
    <row r="6" spans="1:29" ht="26" customHeight="1" x14ac:dyDescent="0.35">
      <c r="B6" s="7"/>
      <c r="C6" s="25"/>
      <c r="D6" s="25"/>
      <c r="E6" s="25"/>
      <c r="F6" s="25"/>
      <c r="G6" s="25"/>
      <c r="H6" s="25"/>
      <c r="I6" s="20"/>
      <c r="J6" s="20"/>
      <c r="K6" s="20"/>
      <c r="L6" s="20"/>
      <c r="M6" s="20"/>
      <c r="N6" s="7"/>
      <c r="O6" s="19"/>
      <c r="P6" s="19"/>
      <c r="Q6" s="19"/>
      <c r="R6" s="7"/>
      <c r="S6" s="25"/>
      <c r="T6" s="25"/>
      <c r="U6" s="25"/>
      <c r="V6" s="25"/>
      <c r="W6" s="25"/>
      <c r="X6" s="25"/>
      <c r="Y6" s="20"/>
      <c r="Z6" s="20"/>
      <c r="AA6" s="20"/>
      <c r="AB6" s="20"/>
      <c r="AC6" s="7"/>
    </row>
    <row r="7" spans="1:29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9"/>
      <c r="P7" s="19"/>
      <c r="Q7" s="1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9"/>
      <c r="P8" s="19"/>
      <c r="Q8" s="1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9"/>
      <c r="P9" s="19"/>
      <c r="Q9" s="1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9"/>
      <c r="P10" s="19"/>
      <c r="Q10" s="1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9"/>
      <c r="P11" s="19"/>
      <c r="Q11" s="1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9"/>
      <c r="P12" s="19"/>
      <c r="Q12" s="1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9"/>
      <c r="P13" s="19"/>
      <c r="Q13" s="19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9"/>
      <c r="P14" s="19"/>
      <c r="Q14" s="1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9"/>
      <c r="P15" s="19"/>
      <c r="Q15" s="1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9"/>
      <c r="P16" s="19"/>
      <c r="Q16" s="19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9"/>
      <c r="P17" s="19"/>
      <c r="Q17" s="1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9"/>
      <c r="P18" s="19"/>
      <c r="Q18" s="1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9"/>
      <c r="P19" s="19"/>
      <c r="Q19" s="1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9"/>
      <c r="P20" s="19"/>
      <c r="Q20" s="1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9"/>
      <c r="P21" s="19"/>
      <c r="Q21" s="1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9"/>
      <c r="P22" s="19"/>
      <c r="Q22" s="1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9"/>
      <c r="P23" s="19"/>
      <c r="Q23" s="19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9"/>
      <c r="P24" s="19"/>
      <c r="Q24" s="19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9"/>
      <c r="P25" s="19"/>
      <c r="Q25" s="19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9"/>
      <c r="P26" s="19"/>
      <c r="Q26" s="19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9"/>
      <c r="P27" s="19"/>
      <c r="Q27" s="19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 ht="11" customHeight="1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9"/>
      <c r="P28" s="19"/>
      <c r="Q28" s="19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 ht="15" customHeight="1" x14ac:dyDescent="0.35">
      <c r="B29" s="7"/>
      <c r="C29" s="25" t="s">
        <v>329</v>
      </c>
      <c r="D29" s="25"/>
      <c r="E29" s="25"/>
      <c r="F29" s="25"/>
      <c r="G29" s="25"/>
      <c r="H29" s="25"/>
      <c r="I29" s="7"/>
      <c r="J29" s="7"/>
      <c r="K29" s="7"/>
      <c r="L29" s="7"/>
      <c r="M29" s="7"/>
      <c r="N29" s="7"/>
      <c r="O29" s="19"/>
      <c r="P29" s="19"/>
      <c r="Q29" s="19"/>
      <c r="R29" s="7"/>
      <c r="S29" s="25" t="s">
        <v>324</v>
      </c>
      <c r="T29" s="25"/>
      <c r="U29" s="25"/>
      <c r="V29" s="25"/>
      <c r="W29" s="25"/>
      <c r="X29" s="25"/>
      <c r="Y29" s="7"/>
      <c r="Z29" s="7"/>
      <c r="AA29" s="7"/>
      <c r="AB29" s="7"/>
      <c r="AC29" s="7"/>
    </row>
    <row r="30" spans="2:29" ht="14.5" customHeight="1" x14ac:dyDescent="0.35">
      <c r="B30" s="7"/>
      <c r="C30" s="25"/>
      <c r="D30" s="25"/>
      <c r="E30" s="25"/>
      <c r="F30" s="25"/>
      <c r="G30" s="25"/>
      <c r="H30" s="25"/>
      <c r="I30" s="20"/>
      <c r="J30" s="20"/>
      <c r="K30" s="20"/>
      <c r="L30" s="20"/>
      <c r="M30" s="20"/>
      <c r="N30" s="7"/>
      <c r="O30" s="19"/>
      <c r="P30" s="19"/>
      <c r="Q30" s="19"/>
      <c r="R30" s="7"/>
      <c r="S30" s="25"/>
      <c r="T30" s="25"/>
      <c r="U30" s="25"/>
      <c r="V30" s="25"/>
      <c r="W30" s="25"/>
      <c r="X30" s="25"/>
      <c r="Y30" s="20"/>
      <c r="Z30" s="20"/>
      <c r="AA30" s="20"/>
      <c r="AB30" s="20"/>
      <c r="AC30" s="7"/>
    </row>
    <row r="31" spans="2:29" ht="22" customHeight="1" x14ac:dyDescent="0.35">
      <c r="B31" s="7"/>
      <c r="C31" s="25"/>
      <c r="D31" s="25"/>
      <c r="E31" s="25"/>
      <c r="F31" s="25"/>
      <c r="G31" s="25"/>
      <c r="H31" s="25"/>
      <c r="I31" s="20"/>
      <c r="J31" s="20"/>
      <c r="K31" s="20"/>
      <c r="L31" s="20"/>
      <c r="M31" s="20"/>
      <c r="N31" s="7"/>
      <c r="O31" s="19"/>
      <c r="P31" s="19"/>
      <c r="Q31" s="19"/>
      <c r="R31" s="7"/>
      <c r="S31" s="25"/>
      <c r="T31" s="25"/>
      <c r="U31" s="25"/>
      <c r="V31" s="25"/>
      <c r="W31" s="25"/>
      <c r="X31" s="25"/>
      <c r="Y31" s="20"/>
      <c r="Z31" s="20"/>
      <c r="AA31" s="20"/>
      <c r="AB31" s="20"/>
      <c r="AC31" s="7"/>
    </row>
    <row r="32" spans="2:29" ht="14.5" customHeight="1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9"/>
      <c r="P32" s="19"/>
      <c r="Q32" s="19"/>
      <c r="R32" s="7"/>
      <c r="S32" s="20"/>
      <c r="T32" s="20"/>
      <c r="U32" s="20"/>
      <c r="V32" s="20"/>
      <c r="W32" s="20"/>
      <c r="X32" s="20"/>
      <c r="Y32" s="7"/>
      <c r="Z32" s="7"/>
      <c r="AA32" s="7"/>
      <c r="AB32" s="7"/>
      <c r="AC32" s="7"/>
    </row>
    <row r="33" spans="2:29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9"/>
      <c r="P33" s="19"/>
      <c r="Q33" s="19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2:29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9"/>
      <c r="Q34" s="19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2:29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9"/>
      <c r="P35" s="19"/>
      <c r="Q35" s="19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2:29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9"/>
      <c r="P36" s="19"/>
      <c r="Q36" s="19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2:29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9"/>
      <c r="P37" s="19"/>
      <c r="Q37" s="19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2:29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9"/>
      <c r="P38" s="19"/>
      <c r="Q38" s="19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2:29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9"/>
      <c r="P39" s="19"/>
      <c r="Q39" s="19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2:29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9"/>
      <c r="P40" s="19"/>
      <c r="Q40" s="19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2:29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9"/>
      <c r="P41" s="19"/>
      <c r="Q41" s="19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9"/>
      <c r="P42" s="19"/>
      <c r="Q42" s="19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9"/>
      <c r="P43" s="19"/>
      <c r="Q43" s="19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9"/>
      <c r="P44" s="19"/>
      <c r="Q44" s="19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2:29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9"/>
      <c r="P45" s="19"/>
      <c r="Q45" s="19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2:29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9"/>
      <c r="P46" s="19"/>
      <c r="Q46" s="19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29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9"/>
      <c r="P47" s="19"/>
      <c r="Q47" s="19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2:29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9"/>
      <c r="P48" s="19"/>
      <c r="Q48" s="19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2:29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9"/>
      <c r="P49" s="19"/>
      <c r="Q49" s="19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2:29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9"/>
      <c r="P50" s="19"/>
      <c r="Q50" s="19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9"/>
      <c r="P51" s="19"/>
      <c r="Q51" s="19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2:29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9"/>
      <c r="P52" s="19"/>
      <c r="Q52" s="19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2:29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9"/>
      <c r="P53" s="19"/>
      <c r="Q53" s="19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2:29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9"/>
      <c r="P54" s="19"/>
      <c r="Q54" s="19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2:29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9"/>
      <c r="P55" s="19"/>
      <c r="Q55" s="19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</sheetData>
  <mergeCells count="5">
    <mergeCell ref="C4:H6"/>
    <mergeCell ref="C29:H31"/>
    <mergeCell ref="S29:X31"/>
    <mergeCell ref="A1:AC1"/>
    <mergeCell ref="S4:X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Agno santana</cp:lastModifiedBy>
  <dcterms:created xsi:type="dcterms:W3CDTF">2024-12-19T13:13:10Z</dcterms:created>
  <dcterms:modified xsi:type="dcterms:W3CDTF">2026-01-19T23:19:18Z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